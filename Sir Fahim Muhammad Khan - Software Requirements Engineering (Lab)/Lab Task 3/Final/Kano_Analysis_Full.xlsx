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Responses" sheetId="1" state="visible" r:id="rId3"/>
    <sheet name="Kano Matrix" sheetId="2" state="visible" r:id="rId4"/>
    <sheet name="Classification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<sst xmlns="http://schemas.openxmlformats.org/spreadsheetml/2006/main" count="906" uniqueCount="96">
  <si>
    <t xml:space="preserve">Kano Questionnaire – Raw Responses</t>
  </si>
  <si>
    <t xml:space="preserve">University Course Registration System | Source: Google Form export (SRE_task.csv) | n = 40</t>
  </si>
  <si>
    <t xml:space="preserve">Timestamp</t>
  </si>
  <si>
    <t xml:space="preserve">Course search (code/title/dept) — Functional (has it)</t>
  </si>
  <si>
    <t xml:space="preserve">Course search (code/title/dept) — Dysfunctional (no it)</t>
  </si>
  <si>
    <t xml:space="preserve">Remaining seats display — Functional (has it)</t>
  </si>
  <si>
    <t xml:space="preserve">Remaining seats display — Dysfunctional (no it)</t>
  </si>
  <si>
    <t xml:space="preserve">Registration confirmation — Functional (has it)</t>
  </si>
  <si>
    <t xml:space="preserve">Registration confirmation — Dysfunctional (no it)</t>
  </si>
  <si>
    <t xml:space="preserve">SMS/email notification — Functional (has it)</t>
  </si>
  <si>
    <t xml:space="preserve">SMS/email notification — Dysfunctional (no it)</t>
  </si>
  <si>
    <t xml:space="preserve">Automatic course recommendations — Functional (has it)</t>
  </si>
  <si>
    <t xml:space="preserve">Automatic course recommendations — Dysfunctional (no it)</t>
  </si>
  <si>
    <t xml:space="preserve">Dark mode — Functional (has it)</t>
  </si>
  <si>
    <t xml:space="preserve">Dark mode — Dysfunctional (no it)</t>
  </si>
  <si>
    <t xml:space="preserve">Download timetable as PDF — Functional (has it)</t>
  </si>
  <si>
    <t xml:space="preserve">Download timetable as PDF — Dysfunctional (no it)</t>
  </si>
  <si>
    <t xml:space="preserve">Remember selected courses — Functional (has it)</t>
  </si>
  <si>
    <t xml:space="preserve">Remember selected courses — Dysfunctional (no it)</t>
  </si>
  <si>
    <t xml:space="preserve">Data preservation (network issue) — Functional (has it)</t>
  </si>
  <si>
    <t xml:space="preserve">Data preservation (network issue) — Dysfunctional (no it)</t>
  </si>
  <si>
    <t xml:space="preserve">Fast response during peak periods — Functional (has it)</t>
  </si>
  <si>
    <t xml:space="preserve">Fast response during peak periods — Dysfunctional (no it)</t>
  </si>
  <si>
    <t xml:space="preserve">2026/09/23 6:20:17 AM GMT+5</t>
  </si>
  <si>
    <t xml:space="preserve">I like it</t>
  </si>
  <si>
    <t xml:space="preserve">I can tolerate it / I can live with it</t>
  </si>
  <si>
    <t xml:space="preserve">I dislike it</t>
  </si>
  <si>
    <t xml:space="preserve">I expect it / It must be that way</t>
  </si>
  <si>
    <t xml:space="preserve">I am neutral</t>
  </si>
  <si>
    <t xml:space="preserve">2026/09/23 6:20:52 AM GMT+5</t>
  </si>
  <si>
    <t xml:space="preserve">2026/09/23 9:51:29 AM GMT+5</t>
  </si>
  <si>
    <t xml:space="preserve">2026/09/23 12:18:56 PM GMT+5</t>
  </si>
  <si>
    <t xml:space="preserve">2026/09/23 12:20:08 PM GMT+5</t>
  </si>
  <si>
    <t xml:space="preserve">2026/09/23 12:26:06 PM GMT+5</t>
  </si>
  <si>
    <t xml:space="preserve">2026/09/23 12:27:15 PM GMT+5</t>
  </si>
  <si>
    <t xml:space="preserve">2026/09/23 12:28:47 PM GMT+5</t>
  </si>
  <si>
    <t xml:space="preserve">2026/09/23 12:29:57 PM GMT+5</t>
  </si>
  <si>
    <t xml:space="preserve">2026/09/23 12:29:59 PM GMT+5</t>
  </si>
  <si>
    <t xml:space="preserve">2026/09/23 12:32:18 PM GMT+5</t>
  </si>
  <si>
    <t xml:space="preserve">2026/09/23 12:33:43 PM GMT+5</t>
  </si>
  <si>
    <t xml:space="preserve">2026/09/23 12:34:00 PM GMT+5</t>
  </si>
  <si>
    <t xml:space="preserve">2026/09/23 12:35:21 PM GMT+5</t>
  </si>
  <si>
    <t xml:space="preserve">2026/09/23 12:40:13 PM GMT+5</t>
  </si>
  <si>
    <t xml:space="preserve">2026/09/23 12:40:58 PM GMT+5</t>
  </si>
  <si>
    <t xml:space="preserve">2026/09/23 12:41:36 PM GMT+5</t>
  </si>
  <si>
    <t xml:space="preserve">2026/09/23 12:45:27 PM GMT+5</t>
  </si>
  <si>
    <t xml:space="preserve">2026/09/23 12:48:59 PM GMT+5</t>
  </si>
  <si>
    <t xml:space="preserve">2026/09/23 1:00:12 PM GMT+5</t>
  </si>
  <si>
    <t xml:space="preserve">2026/09/23 1:00:33 PM GMT+5</t>
  </si>
  <si>
    <t xml:space="preserve">2026/09/23 1:02:01 PM GMT+5</t>
  </si>
  <si>
    <t xml:space="preserve">2026/09/23 1:06:11 PM GMT+5</t>
  </si>
  <si>
    <t xml:space="preserve">2026/09/23 1:29:42 PM GMT+5</t>
  </si>
  <si>
    <t xml:space="preserve">2026/09/23 1:29:46 PM GMT+5</t>
  </si>
  <si>
    <t xml:space="preserve">2026/09/23 1:47:39 PM GMT+5</t>
  </si>
  <si>
    <t xml:space="preserve">2026/09/23 1:49:18 PM GMT+5</t>
  </si>
  <si>
    <t xml:space="preserve">2026/09/23 1:57:38 PM GMT+5</t>
  </si>
  <si>
    <t xml:space="preserve">2026/09/23 2:04:18 PM GMT+5</t>
  </si>
  <si>
    <t xml:space="preserve">2026/09/23 2:08:17 PM GMT+5</t>
  </si>
  <si>
    <t xml:space="preserve">2026/09/23 2:10:51 PM GMT+5</t>
  </si>
  <si>
    <t xml:space="preserve">2026/09/23 2:13:54 PM GMT+5</t>
  </si>
  <si>
    <t xml:space="preserve">2026/09/23 2:22:20 PM GMT+5</t>
  </si>
  <si>
    <t xml:space="preserve">2026/09/23 2:27:07 PM GMT+5</t>
  </si>
  <si>
    <t xml:space="preserve">2026/09/23 3:02:41 PM GMT+5</t>
  </si>
  <si>
    <t xml:space="preserve">2026/09/23 3:09:58 PM GMT+5</t>
  </si>
  <si>
    <t xml:space="preserve">2026/09/23 3:37:41 PM GMT+5</t>
  </si>
  <si>
    <t xml:space="preserve">2026/09/23 4:53:49 PM GMT+5</t>
  </si>
  <si>
    <t xml:space="preserve">2026/09/23 7:00:38 PM GMT+5</t>
  </si>
  <si>
    <t xml:space="preserve">2026/09/23 7:51:54 PM GMT+5</t>
  </si>
  <si>
    <t xml:space="preserve">Kano Evaluation Matrix</t>
  </si>
  <si>
    <t xml:space="preserve">Standard classification logic used by the Classification sheet's formulas.</t>
  </si>
  <si>
    <t xml:space="preserve">Functional \ Dysfunctional</t>
  </si>
  <si>
    <t xml:space="preserve">Q</t>
  </si>
  <si>
    <t xml:space="preserve">A</t>
  </si>
  <si>
    <t xml:space="preserve">O</t>
  </si>
  <si>
    <t xml:space="preserve">R</t>
  </si>
  <si>
    <t xml:space="preserve">I</t>
  </si>
  <si>
    <t xml:space="preserve">M</t>
  </si>
  <si>
    <t xml:space="preserve">Legend: M = Must-be | O = One-dimensional | A = Attractive | I = Indifferent | R = Reverse | Q = Questionable</t>
  </si>
  <si>
    <t xml:space="preserve">Per-Respondent Kano Classification</t>
  </si>
  <si>
    <t xml:space="preserve">Each cell below looks up the functional/dysfunctional answer pair on 'Raw Responses' against the 'Kano Matrix'.</t>
  </si>
  <si>
    <t xml:space="preserve">Course search (code/title/dept)</t>
  </si>
  <si>
    <t xml:space="preserve">Remaining seats display</t>
  </si>
  <si>
    <t xml:space="preserve">Registration confirmation</t>
  </si>
  <si>
    <t xml:space="preserve">SMS/email notification</t>
  </si>
  <si>
    <t xml:space="preserve">Automatic course recommendations</t>
  </si>
  <si>
    <t xml:space="preserve">Dark mode</t>
  </si>
  <si>
    <t xml:space="preserve">Download timetable as PDF</t>
  </si>
  <si>
    <t xml:space="preserve">Remember selected courses</t>
  </si>
  <si>
    <t xml:space="preserve">Data preservation (network issue)</t>
  </si>
  <si>
    <t xml:space="preserve">Fast response during peak periods</t>
  </si>
  <si>
    <t xml:space="preserve">Kano Summary — University Course Registration System</t>
  </si>
  <si>
    <t xml:space="preserve">n = 40 respondents. Dominant category uses tie-break priority M &gt; O &gt; A &gt; I &gt; R &gt; Q.</t>
  </si>
  <si>
    <t xml:space="preserve">Feature</t>
  </si>
  <si>
    <t xml:space="preserve">Incomplete</t>
  </si>
  <si>
    <t xml:space="preserve">Total</t>
  </si>
  <si>
    <t xml:space="preserve">Dominant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</si>
</sst>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BDD7EE"/>
      </patternFill>
    </fill>
    <fill>
      <patternFill patternType="solid">
        <fgColor rgb="FFF4B7B7"/>
        <bgColor rgb="FFF8CBAD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8CBAD"/>
      </patternFill>
    </fill>
    <fill>
      <patternFill patternType="solid">
        <fgColor rgb="FFBDD7EE"/>
        <bgColor rgb="FFD9D9D9"/>
      </patternFill>
    </fill>
    <fill>
      <patternFill patternType="solid">
        <fgColor rgb="FFF8CBAD"/>
        <bgColor rgb="FFF4B7B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4B7B7"/>
      <rgbColor rgb="FFCC99FF"/>
      <rgbColor rgb="FFF8CBAD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Kano Category Counts by Feature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Summary!$A$5:$A$14</c:f>
              <c:strCache>
                <c:ptCount val="10"/>
                <c:pt idx="0">
                  <c:v>Course search (code/title/dept)</c:v>
                </c:pt>
                <c:pt idx="1">
                  <c:v>Remaining seats display</c:v>
                </c:pt>
                <c:pt idx="2">
                  <c:v>Registration confirmation</c:v>
                </c:pt>
                <c:pt idx="3">
                  <c:v>SMS/email notification</c:v>
                </c:pt>
                <c:pt idx="4">
                  <c:v>Automatic course recommendations</c:v>
                </c:pt>
                <c:pt idx="5">
                  <c:v>Dark mode</c:v>
                </c:pt>
                <c:pt idx="6">
                  <c:v>Download timetable as PDF</c:v>
                </c:pt>
                <c:pt idx="7">
                  <c:v>Remember selected courses</c:v>
                </c:pt>
                <c:pt idx="8">
                  <c:v>Data preservation (network issue)</c:v>
                </c:pt>
                <c:pt idx="9">
                  <c:v>Fast response during peak periods</c:v>
                </c:pt>
              </c:strCache>
            </c:strRef>
          </c:cat>
          <c:val>
            <c:numRef>
              <c:f>Summary!$B$5:$B$14</c:f>
              <c:numCache>
                <c:formatCode>General</c:formatCode>
                <c:ptCount val="1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</c:numCache>
            </c:numRef>
          </c:val>
        </c:ser>
        <c:ser>
          <c:idx val="1"/>
          <c:order val="1"/>
          <c:tx>
            <c:strRef>
              <c:f>Summary!C4</c:f>
              <c:strCache>
                <c:ptCount val="1"/>
                <c:pt idx="0">
                  <c:v>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Summary!$A$5:$A$14</c:f>
              <c:strCache>
                <c:ptCount val="10"/>
                <c:pt idx="0">
                  <c:v>Course search (code/title/dept)</c:v>
                </c:pt>
                <c:pt idx="1">
                  <c:v>Remaining seats display</c:v>
                </c:pt>
                <c:pt idx="2">
                  <c:v>Registration confirmation</c:v>
                </c:pt>
                <c:pt idx="3">
                  <c:v>SMS/email notification</c:v>
                </c:pt>
                <c:pt idx="4">
                  <c:v>Automatic course recommendations</c:v>
                </c:pt>
                <c:pt idx="5">
                  <c:v>Dark mode</c:v>
                </c:pt>
                <c:pt idx="6">
                  <c:v>Download timetable as PDF</c:v>
                </c:pt>
                <c:pt idx="7">
                  <c:v>Remember selected courses</c:v>
                </c:pt>
                <c:pt idx="8">
                  <c:v>Data preservation (network issue)</c:v>
                </c:pt>
                <c:pt idx="9">
                  <c:v>Fast response during peak periods</c:v>
                </c:pt>
              </c:strCache>
            </c:strRef>
          </c:cat>
          <c:val>
            <c:numRef>
              <c:f>Summary!$C$5:$C$14</c:f>
              <c:numCache>
                <c:formatCode>General</c:formatCode>
                <c:ptCount val="10"/>
                <c:pt idx="0">
                  <c:v>11</c:v>
                </c:pt>
                <c:pt idx="1">
                  <c:v>9</c:v>
                </c:pt>
                <c:pt idx="2">
                  <c:v>12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8</c:v>
                </c:pt>
                <c:pt idx="8">
                  <c:v>8</c:v>
                </c:pt>
                <c:pt idx="9">
                  <c:v>12</c:v>
                </c:pt>
              </c:numCache>
            </c:numRef>
          </c:val>
        </c:ser>
        <c:ser>
          <c:idx val="2"/>
          <c:order val="2"/>
          <c:tx>
            <c:strRef>
              <c:f>Summary!D4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Summary!$A$5:$A$14</c:f>
              <c:strCache>
                <c:ptCount val="10"/>
                <c:pt idx="0">
                  <c:v>Course search (code/title/dept)</c:v>
                </c:pt>
                <c:pt idx="1">
                  <c:v>Remaining seats display</c:v>
                </c:pt>
                <c:pt idx="2">
                  <c:v>Registration confirmation</c:v>
                </c:pt>
                <c:pt idx="3">
                  <c:v>SMS/email notification</c:v>
                </c:pt>
                <c:pt idx="4">
                  <c:v>Automatic course recommendations</c:v>
                </c:pt>
                <c:pt idx="5">
                  <c:v>Dark mode</c:v>
                </c:pt>
                <c:pt idx="6">
                  <c:v>Download timetable as PDF</c:v>
                </c:pt>
                <c:pt idx="7">
                  <c:v>Remember selected courses</c:v>
                </c:pt>
                <c:pt idx="8">
                  <c:v>Data preservation (network issue)</c:v>
                </c:pt>
                <c:pt idx="9">
                  <c:v>Fast response during peak periods</c:v>
                </c:pt>
              </c:strCache>
            </c:strRef>
          </c:cat>
          <c:val>
            <c:numRef>
              <c:f>Summary!$D$5:$D$14</c:f>
              <c:numCache>
                <c:formatCode>General</c:formatCode>
                <c:ptCount val="10"/>
                <c:pt idx="0">
                  <c:v>15</c:v>
                </c:pt>
                <c:pt idx="1">
                  <c:v>12</c:v>
                </c:pt>
                <c:pt idx="2">
                  <c:v>5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5</c:v>
                </c:pt>
                <c:pt idx="9">
                  <c:v>7</c:v>
                </c:pt>
              </c:numCache>
            </c:numRef>
          </c:val>
        </c:ser>
        <c:ser>
          <c:idx val="3"/>
          <c:order val="3"/>
          <c:tx>
            <c:strRef>
              <c:f>Summary!E4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Summary!$A$5:$A$14</c:f>
              <c:strCache>
                <c:ptCount val="10"/>
                <c:pt idx="0">
                  <c:v>Course search (code/title/dept)</c:v>
                </c:pt>
                <c:pt idx="1">
                  <c:v>Remaining seats display</c:v>
                </c:pt>
                <c:pt idx="2">
                  <c:v>Registration confirmation</c:v>
                </c:pt>
                <c:pt idx="3">
                  <c:v>SMS/email notification</c:v>
                </c:pt>
                <c:pt idx="4">
                  <c:v>Automatic course recommendations</c:v>
                </c:pt>
                <c:pt idx="5">
                  <c:v>Dark mode</c:v>
                </c:pt>
                <c:pt idx="6">
                  <c:v>Download timetable as PDF</c:v>
                </c:pt>
                <c:pt idx="7">
                  <c:v>Remember selected courses</c:v>
                </c:pt>
                <c:pt idx="8">
                  <c:v>Data preservation (network issue)</c:v>
                </c:pt>
                <c:pt idx="9">
                  <c:v>Fast response during peak periods</c:v>
                </c:pt>
              </c:strCache>
            </c:strRef>
          </c:cat>
          <c:val>
            <c:numRef>
              <c:f>Summary!$E$5:$E$14</c:f>
              <c:numCache>
                <c:formatCode>General</c:formatCode>
                <c:ptCount val="10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7</c:v>
                </c:pt>
                <c:pt idx="7">
                  <c:v>10</c:v>
                </c:pt>
                <c:pt idx="8">
                  <c:v>10</c:v>
                </c:pt>
                <c:pt idx="9">
                  <c:v>9</c:v>
                </c:pt>
              </c:numCache>
            </c:numRef>
          </c:val>
        </c:ser>
        <c:ser>
          <c:idx val="4"/>
          <c:order val="4"/>
          <c:tx>
            <c:strRef>
              <c:f>Summary!F4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Summary!$A$5:$A$14</c:f>
              <c:strCache>
                <c:ptCount val="10"/>
                <c:pt idx="0">
                  <c:v>Course search (code/title/dept)</c:v>
                </c:pt>
                <c:pt idx="1">
                  <c:v>Remaining seats display</c:v>
                </c:pt>
                <c:pt idx="2">
                  <c:v>Registration confirmation</c:v>
                </c:pt>
                <c:pt idx="3">
                  <c:v>SMS/email notification</c:v>
                </c:pt>
                <c:pt idx="4">
                  <c:v>Automatic course recommendations</c:v>
                </c:pt>
                <c:pt idx="5">
                  <c:v>Dark mode</c:v>
                </c:pt>
                <c:pt idx="6">
                  <c:v>Download timetable as PDF</c:v>
                </c:pt>
                <c:pt idx="7">
                  <c:v>Remember selected courses</c:v>
                </c:pt>
                <c:pt idx="8">
                  <c:v>Data preservation (network issue)</c:v>
                </c:pt>
                <c:pt idx="9">
                  <c:v>Fast response during peak periods</c:v>
                </c:pt>
              </c:strCache>
            </c:strRef>
          </c:cat>
          <c:val>
            <c:numRef>
              <c:f>Summary!$F$5:$F$14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</c:ser>
        <c:ser>
          <c:idx val="5"/>
          <c:order val="5"/>
          <c:tx>
            <c:strRef>
              <c:f>Summary!G4</c:f>
              <c:strCache>
                <c:ptCount val="1"/>
                <c:pt idx="0">
                  <c:v>Q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Summary!$A$5:$A$14</c:f>
              <c:strCache>
                <c:ptCount val="10"/>
                <c:pt idx="0">
                  <c:v>Course search (code/title/dept)</c:v>
                </c:pt>
                <c:pt idx="1">
                  <c:v>Remaining seats display</c:v>
                </c:pt>
                <c:pt idx="2">
                  <c:v>Registration confirmation</c:v>
                </c:pt>
                <c:pt idx="3">
                  <c:v>SMS/email notification</c:v>
                </c:pt>
                <c:pt idx="4">
                  <c:v>Automatic course recommendations</c:v>
                </c:pt>
                <c:pt idx="5">
                  <c:v>Dark mode</c:v>
                </c:pt>
                <c:pt idx="6">
                  <c:v>Download timetable as PDF</c:v>
                </c:pt>
                <c:pt idx="7">
                  <c:v>Remember selected courses</c:v>
                </c:pt>
                <c:pt idx="8">
                  <c:v>Data preservation (network issue)</c:v>
                </c:pt>
                <c:pt idx="9">
                  <c:v>Fast response during peak periods</c:v>
                </c:pt>
              </c:strCache>
            </c:strRef>
          </c:cat>
          <c:val>
            <c:numRef>
              <c:f>Summary!$G$5:$G$14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8</c:v>
                </c:pt>
                <c:pt idx="9">
                  <c:v>5</c:v>
                </c:pt>
              </c:numCache>
            </c:numRef>
          </c:val>
        </c:ser>
        <c:gapWidth val="60"/>
        <c:overlap val="0"/>
        <c:axId val="19045860"/>
        <c:axId val="18143075"/>
      </c:barChart>
      <c:catAx>
        <c:axId val="190458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Feature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143075"/>
        <c:crosses val="autoZero"/>
        <c:auto val="1"/>
        <c:lblAlgn val="ctr"/>
        <c:lblOffset val="100"/>
        <c:noMultiLvlLbl val="0"/>
      </c:catAx>
      <c:valAx>
        <c:axId val="181430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458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6480</xdr:rowOff>
    </xdr:from>
    <xdr:to>
      <xdr:col>11</xdr:col>
      <xdr:colOff>7920</xdr:colOff>
      <xdr:row>33</xdr:row>
      <xdr:rowOff>177120</xdr:rowOff>
    </xdr:to>
    <xdr:graphicFrame>
      <xdr:nvGraphicFramePr>
        <xdr:cNvPr id="0" name="Chart 1"/>
        <xdr:cNvGraphicFramePr/>
      </xdr:nvGraphicFramePr>
      <xdr:xfrm>
        <a:off x="0" y="304812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1" min="2" style="0" width="2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41.7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customFormat="false" ht="15" hidden="false" customHeight="false" outlineLevel="0" collapsed="false">
      <c r="A5" s="4" t="s">
        <v>23</v>
      </c>
      <c r="B5" s="5" t="s">
        <v>24</v>
      </c>
      <c r="C5" s="5" t="s">
        <v>25</v>
      </c>
      <c r="D5" s="5" t="s">
        <v>24</v>
      </c>
      <c r="E5" s="5" t="s">
        <v>26</v>
      </c>
      <c r="F5" s="5" t="s">
        <v>27</v>
      </c>
      <c r="G5" s="5" t="s">
        <v>26</v>
      </c>
      <c r="H5" s="5" t="s">
        <v>28</v>
      </c>
      <c r="I5" s="5" t="s">
        <v>28</v>
      </c>
      <c r="J5" s="5" t="s">
        <v>24</v>
      </c>
      <c r="K5" s="5" t="s">
        <v>25</v>
      </c>
      <c r="L5" s="5" t="s">
        <v>25</v>
      </c>
      <c r="M5" s="5" t="s">
        <v>25</v>
      </c>
      <c r="N5" s="5" t="s">
        <v>24</v>
      </c>
      <c r="O5" s="5" t="s">
        <v>26</v>
      </c>
      <c r="P5" s="5" t="s">
        <v>24</v>
      </c>
      <c r="Q5" s="5" t="s">
        <v>26</v>
      </c>
      <c r="R5" s="5" t="s">
        <v>26</v>
      </c>
      <c r="S5" s="5" t="s">
        <v>26</v>
      </c>
      <c r="T5" s="5" t="s">
        <v>24</v>
      </c>
      <c r="U5" s="5" t="s">
        <v>26</v>
      </c>
    </row>
    <row r="6" customFormat="false" ht="15" hidden="false" customHeight="false" outlineLevel="0" collapsed="false">
      <c r="A6" s="4" t="s">
        <v>29</v>
      </c>
      <c r="B6" s="5" t="s">
        <v>28</v>
      </c>
      <c r="C6" s="5" t="s">
        <v>25</v>
      </c>
      <c r="D6" s="5" t="s">
        <v>27</v>
      </c>
      <c r="E6" s="5" t="s">
        <v>26</v>
      </c>
      <c r="F6" s="5" t="s">
        <v>28</v>
      </c>
      <c r="G6" s="5" t="s">
        <v>28</v>
      </c>
      <c r="H6" s="5" t="s">
        <v>24</v>
      </c>
      <c r="I6" s="5" t="s">
        <v>25</v>
      </c>
      <c r="J6" s="5" t="s">
        <v>26</v>
      </c>
      <c r="K6" s="5" t="s">
        <v>28</v>
      </c>
      <c r="L6" s="5" t="s">
        <v>25</v>
      </c>
      <c r="M6" s="5" t="s">
        <v>24</v>
      </c>
      <c r="N6" s="5" t="s">
        <v>26</v>
      </c>
      <c r="O6" s="5" t="s">
        <v>24</v>
      </c>
      <c r="P6" s="5" t="s">
        <v>28</v>
      </c>
      <c r="Q6" s="5" t="s">
        <v>28</v>
      </c>
      <c r="R6" s="5" t="s">
        <v>27</v>
      </c>
      <c r="S6" s="5" t="s">
        <v>25</v>
      </c>
      <c r="T6" s="5" t="s">
        <v>27</v>
      </c>
      <c r="U6" s="5" t="s">
        <v>25</v>
      </c>
    </row>
    <row r="7" customFormat="false" ht="15" hidden="false" customHeight="false" outlineLevel="0" collapsed="false">
      <c r="A7" s="4" t="s">
        <v>30</v>
      </c>
      <c r="B7" s="5" t="s">
        <v>28</v>
      </c>
      <c r="C7" s="5" t="s">
        <v>28</v>
      </c>
      <c r="D7" s="5" t="s">
        <v>28</v>
      </c>
      <c r="E7" s="5" t="s">
        <v>28</v>
      </c>
      <c r="F7" s="5" t="s">
        <v>28</v>
      </c>
      <c r="G7" s="5" t="s">
        <v>28</v>
      </c>
      <c r="H7" s="5" t="s">
        <v>28</v>
      </c>
      <c r="I7" s="5" t="s">
        <v>28</v>
      </c>
      <c r="J7" s="5" t="s">
        <v>28</v>
      </c>
      <c r="K7" s="5" t="s">
        <v>28</v>
      </c>
      <c r="L7" s="5" t="s">
        <v>28</v>
      </c>
      <c r="M7" s="5" t="s">
        <v>28</v>
      </c>
      <c r="N7" s="5" t="s">
        <v>28</v>
      </c>
      <c r="O7" s="5" t="s">
        <v>28</v>
      </c>
      <c r="P7" s="5" t="s">
        <v>28</v>
      </c>
      <c r="Q7" s="5" t="s">
        <v>28</v>
      </c>
      <c r="R7" s="5" t="s">
        <v>28</v>
      </c>
      <c r="S7" s="5" t="s">
        <v>28</v>
      </c>
      <c r="T7" s="5" t="s">
        <v>28</v>
      </c>
      <c r="U7" s="5" t="s">
        <v>28</v>
      </c>
    </row>
    <row r="8" customFormat="false" ht="15" hidden="false" customHeight="false" outlineLevel="0" collapsed="false">
      <c r="A8" s="4" t="s">
        <v>31</v>
      </c>
      <c r="B8" s="5" t="s">
        <v>24</v>
      </c>
      <c r="C8" s="5" t="s">
        <v>28</v>
      </c>
      <c r="D8" s="5" t="s">
        <v>24</v>
      </c>
      <c r="E8" s="5" t="s">
        <v>28</v>
      </c>
      <c r="F8" s="5" t="s">
        <v>24</v>
      </c>
      <c r="G8" s="5" t="s">
        <v>25</v>
      </c>
      <c r="H8" s="5" t="s">
        <v>24</v>
      </c>
      <c r="I8" s="5" t="s">
        <v>25</v>
      </c>
      <c r="J8" s="5" t="s">
        <v>28</v>
      </c>
      <c r="K8" s="5" t="s">
        <v>28</v>
      </c>
      <c r="L8" s="5" t="s">
        <v>28</v>
      </c>
      <c r="M8" s="5" t="s">
        <v>28</v>
      </c>
      <c r="N8" s="5" t="s">
        <v>28</v>
      </c>
      <c r="O8" s="5" t="s">
        <v>28</v>
      </c>
      <c r="P8" s="5" t="s">
        <v>24</v>
      </c>
      <c r="Q8" s="5" t="s">
        <v>27</v>
      </c>
      <c r="R8" s="5" t="s">
        <v>24</v>
      </c>
      <c r="S8" s="5" t="s">
        <v>26</v>
      </c>
      <c r="T8" s="5" t="s">
        <v>24</v>
      </c>
      <c r="U8" s="5" t="s">
        <v>25</v>
      </c>
    </row>
    <row r="9" customFormat="false" ht="15" hidden="false" customHeight="false" outlineLevel="0" collapsed="false">
      <c r="A9" s="4" t="s">
        <v>32</v>
      </c>
      <c r="B9" s="5" t="s">
        <v>28</v>
      </c>
      <c r="C9" s="5" t="s">
        <v>25</v>
      </c>
      <c r="D9" s="5" t="s">
        <v>27</v>
      </c>
      <c r="E9" s="5" t="s">
        <v>28</v>
      </c>
      <c r="F9" s="5" t="s">
        <v>25</v>
      </c>
      <c r="G9" s="5" t="s">
        <v>26</v>
      </c>
      <c r="H9" s="5" t="s">
        <v>25</v>
      </c>
      <c r="I9" s="5" t="s">
        <v>26</v>
      </c>
      <c r="J9" s="5" t="s">
        <v>28</v>
      </c>
      <c r="K9" s="5" t="s">
        <v>27</v>
      </c>
      <c r="L9" s="5" t="s">
        <v>28</v>
      </c>
      <c r="M9" s="5" t="s">
        <v>27</v>
      </c>
      <c r="N9" s="5" t="s">
        <v>24</v>
      </c>
      <c r="O9" s="5" t="s">
        <v>26</v>
      </c>
      <c r="P9" s="5" t="s">
        <v>27</v>
      </c>
      <c r="Q9" s="5" t="s">
        <v>27</v>
      </c>
      <c r="R9" s="5" t="s">
        <v>28</v>
      </c>
      <c r="S9" s="5" t="s">
        <v>24</v>
      </c>
      <c r="T9" s="5" t="s">
        <v>25</v>
      </c>
      <c r="U9" s="5" t="s">
        <v>26</v>
      </c>
    </row>
    <row r="10" customFormat="false" ht="15" hidden="false" customHeight="false" outlineLevel="0" collapsed="false">
      <c r="A10" s="4" t="s">
        <v>33</v>
      </c>
      <c r="B10" s="5" t="s">
        <v>24</v>
      </c>
      <c r="C10" s="5" t="s">
        <v>27</v>
      </c>
      <c r="D10" s="5" t="s">
        <v>24</v>
      </c>
      <c r="E10" s="5" t="s">
        <v>26</v>
      </c>
      <c r="F10" s="5" t="s">
        <v>24</v>
      </c>
      <c r="G10" s="5" t="s">
        <v>26</v>
      </c>
      <c r="H10" s="5" t="s">
        <v>24</v>
      </c>
      <c r="I10" s="5" t="s">
        <v>26</v>
      </c>
      <c r="J10" s="5" t="s">
        <v>24</v>
      </c>
      <c r="K10" s="5" t="s">
        <v>26</v>
      </c>
      <c r="L10" s="5" t="s">
        <v>24</v>
      </c>
      <c r="M10" s="5" t="s">
        <v>26</v>
      </c>
      <c r="N10" s="5" t="s">
        <v>24</v>
      </c>
      <c r="O10" s="5" t="s">
        <v>26</v>
      </c>
      <c r="P10" s="5" t="s">
        <v>24</v>
      </c>
      <c r="Q10" s="5" t="s">
        <v>28</v>
      </c>
      <c r="R10" s="5" t="s">
        <v>25</v>
      </c>
      <c r="S10" s="5" t="s">
        <v>25</v>
      </c>
      <c r="T10" s="5" t="s">
        <v>25</v>
      </c>
      <c r="U10" s="5" t="s">
        <v>26</v>
      </c>
    </row>
    <row r="11" customFormat="false" ht="15" hidden="false" customHeight="false" outlineLevel="0" collapsed="false">
      <c r="A11" s="4" t="s">
        <v>34</v>
      </c>
      <c r="B11" s="5" t="s">
        <v>24</v>
      </c>
      <c r="C11" s="5" t="s">
        <v>26</v>
      </c>
      <c r="D11" s="5" t="s">
        <v>27</v>
      </c>
      <c r="E11" s="5" t="s">
        <v>25</v>
      </c>
      <c r="F11" s="5" t="s">
        <v>28</v>
      </c>
      <c r="G11" s="5" t="s">
        <v>28</v>
      </c>
      <c r="H11" s="5" t="s">
        <v>27</v>
      </c>
      <c r="I11" s="5" t="s">
        <v>26</v>
      </c>
      <c r="J11" s="5" t="s">
        <v>25</v>
      </c>
      <c r="K11" s="5" t="s">
        <v>25</v>
      </c>
      <c r="L11" s="5" t="s">
        <v>28</v>
      </c>
      <c r="M11" s="5" t="s">
        <v>25</v>
      </c>
      <c r="N11" s="5" t="s">
        <v>24</v>
      </c>
      <c r="O11" s="5" t="s">
        <v>27</v>
      </c>
      <c r="P11" s="5" t="s">
        <v>27</v>
      </c>
      <c r="Q11" s="5" t="s">
        <v>26</v>
      </c>
      <c r="R11" s="5" t="s">
        <v>24</v>
      </c>
      <c r="S11" s="5" t="s">
        <v>25</v>
      </c>
      <c r="T11" s="5" t="s">
        <v>28</v>
      </c>
      <c r="U11" s="5" t="s">
        <v>25</v>
      </c>
    </row>
    <row r="12" customFormat="false" ht="15" hidden="false" customHeight="false" outlineLevel="0" collapsed="false">
      <c r="A12" s="4" t="s">
        <v>35</v>
      </c>
      <c r="B12" s="5" t="s">
        <v>24</v>
      </c>
      <c r="C12" s="5" t="s">
        <v>26</v>
      </c>
      <c r="D12" s="5" t="s">
        <v>24</v>
      </c>
      <c r="E12" s="5" t="s">
        <v>26</v>
      </c>
      <c r="F12" s="5" t="s">
        <v>24</v>
      </c>
      <c r="G12" s="5" t="s">
        <v>28</v>
      </c>
      <c r="H12" s="5" t="s">
        <v>24</v>
      </c>
      <c r="I12" s="5" t="s">
        <v>28</v>
      </c>
      <c r="J12" s="5" t="s">
        <v>24</v>
      </c>
      <c r="K12" s="5" t="s">
        <v>28</v>
      </c>
      <c r="L12" s="5" t="s">
        <v>26</v>
      </c>
      <c r="M12" s="5" t="s">
        <v>24</v>
      </c>
      <c r="N12" s="5" t="s">
        <v>28</v>
      </c>
      <c r="O12" s="5" t="s">
        <v>26</v>
      </c>
      <c r="P12" s="5"/>
      <c r="Q12" s="5" t="s">
        <v>24</v>
      </c>
      <c r="R12" s="5" t="s">
        <v>24</v>
      </c>
      <c r="S12" s="5" t="s">
        <v>24</v>
      </c>
      <c r="T12" s="5" t="s">
        <v>28</v>
      </c>
      <c r="U12" s="5" t="s">
        <v>24</v>
      </c>
    </row>
    <row r="13" customFormat="false" ht="15" hidden="false" customHeight="false" outlineLevel="0" collapsed="false">
      <c r="A13" s="4" t="s">
        <v>36</v>
      </c>
      <c r="B13" s="5" t="s">
        <v>24</v>
      </c>
      <c r="C13" s="5" t="s">
        <v>27</v>
      </c>
      <c r="D13" s="5" t="s">
        <v>28</v>
      </c>
      <c r="E13" s="5" t="s">
        <v>25</v>
      </c>
      <c r="F13" s="5" t="s">
        <v>26</v>
      </c>
      <c r="G13" s="5" t="s">
        <v>24</v>
      </c>
      <c r="H13" s="5" t="s">
        <v>27</v>
      </c>
      <c r="I13" s="5" t="s">
        <v>27</v>
      </c>
      <c r="J13" s="5" t="s">
        <v>28</v>
      </c>
      <c r="K13" s="5" t="s">
        <v>27</v>
      </c>
      <c r="L13" s="5" t="s">
        <v>27</v>
      </c>
      <c r="M13" s="5" t="s">
        <v>27</v>
      </c>
      <c r="N13" s="5" t="s">
        <v>28</v>
      </c>
      <c r="O13" s="5" t="s">
        <v>28</v>
      </c>
      <c r="P13" s="5" t="s">
        <v>27</v>
      </c>
      <c r="Q13" s="5" t="s">
        <v>28</v>
      </c>
      <c r="R13" s="5" t="s">
        <v>28</v>
      </c>
      <c r="S13" s="5" t="s">
        <v>28</v>
      </c>
      <c r="T13" s="5" t="s">
        <v>28</v>
      </c>
      <c r="U13" s="5" t="s">
        <v>28</v>
      </c>
    </row>
    <row r="14" customFormat="false" ht="15" hidden="false" customHeight="false" outlineLevel="0" collapsed="false">
      <c r="A14" s="4" t="s">
        <v>37</v>
      </c>
      <c r="B14" s="5" t="s">
        <v>27</v>
      </c>
      <c r="C14" s="5" t="s">
        <v>28</v>
      </c>
      <c r="D14" s="5" t="s">
        <v>24</v>
      </c>
      <c r="E14" s="5" t="s">
        <v>24</v>
      </c>
      <c r="F14" s="5" t="s">
        <v>28</v>
      </c>
      <c r="G14" s="5" t="s">
        <v>25</v>
      </c>
      <c r="H14" s="5" t="s">
        <v>28</v>
      </c>
      <c r="I14" s="5" t="s">
        <v>24</v>
      </c>
      <c r="J14" s="5" t="s">
        <v>24</v>
      </c>
      <c r="K14" s="5" t="s">
        <v>27</v>
      </c>
      <c r="L14" s="5" t="s">
        <v>27</v>
      </c>
      <c r="M14" s="5" t="s">
        <v>24</v>
      </c>
      <c r="N14" s="5" t="s">
        <v>25</v>
      </c>
      <c r="O14" s="5" t="s">
        <v>26</v>
      </c>
      <c r="P14" s="5" t="s">
        <v>26</v>
      </c>
      <c r="Q14" s="5" t="s">
        <v>24</v>
      </c>
      <c r="R14" s="5" t="s">
        <v>24</v>
      </c>
      <c r="S14" s="5" t="s">
        <v>24</v>
      </c>
      <c r="T14" s="5" t="s">
        <v>27</v>
      </c>
      <c r="U14" s="5" t="s">
        <v>25</v>
      </c>
    </row>
    <row r="15" customFormat="false" ht="15" hidden="false" customHeight="false" outlineLevel="0" collapsed="false">
      <c r="A15" s="4" t="s">
        <v>38</v>
      </c>
      <c r="B15" s="5" t="s">
        <v>24</v>
      </c>
      <c r="C15" s="5" t="s">
        <v>26</v>
      </c>
      <c r="D15" s="5" t="s">
        <v>24</v>
      </c>
      <c r="E15" s="5" t="s">
        <v>26</v>
      </c>
      <c r="F15" s="5" t="s">
        <v>24</v>
      </c>
      <c r="G15" s="5" t="s">
        <v>26</v>
      </c>
      <c r="H15" s="5" t="s">
        <v>24</v>
      </c>
      <c r="I15" s="5" t="s">
        <v>26</v>
      </c>
      <c r="J15" s="5" t="s">
        <v>24</v>
      </c>
      <c r="K15" s="5" t="s">
        <v>26</v>
      </c>
      <c r="L15" s="5" t="s">
        <v>24</v>
      </c>
      <c r="M15" s="5" t="s">
        <v>25</v>
      </c>
      <c r="N15" s="5" t="s">
        <v>24</v>
      </c>
      <c r="O15" s="5" t="s">
        <v>26</v>
      </c>
      <c r="P15" s="5" t="s">
        <v>24</v>
      </c>
      <c r="Q15" s="5" t="s">
        <v>26</v>
      </c>
      <c r="R15" s="5" t="s">
        <v>24</v>
      </c>
      <c r="S15" s="5" t="s">
        <v>26</v>
      </c>
      <c r="T15" s="5" t="s">
        <v>24</v>
      </c>
      <c r="U15" s="5" t="s">
        <v>26</v>
      </c>
    </row>
    <row r="16" customFormat="false" ht="15" hidden="false" customHeight="false" outlineLevel="0" collapsed="false">
      <c r="A16" s="4" t="s">
        <v>39</v>
      </c>
      <c r="B16" s="5" t="s">
        <v>24</v>
      </c>
      <c r="C16" s="5" t="s">
        <v>26</v>
      </c>
      <c r="D16" s="5" t="s">
        <v>24</v>
      </c>
      <c r="E16" s="5" t="s">
        <v>28</v>
      </c>
      <c r="F16" s="5" t="s">
        <v>27</v>
      </c>
      <c r="G16" s="5" t="s">
        <v>25</v>
      </c>
      <c r="H16" s="5" t="s">
        <v>27</v>
      </c>
      <c r="I16" s="5" t="s">
        <v>25</v>
      </c>
      <c r="J16" s="5" t="s">
        <v>27</v>
      </c>
      <c r="K16" s="5" t="s">
        <v>26</v>
      </c>
      <c r="L16" s="5" t="s">
        <v>24</v>
      </c>
      <c r="M16" s="5" t="s">
        <v>25</v>
      </c>
      <c r="N16" s="5" t="s">
        <v>27</v>
      </c>
      <c r="O16" s="5" t="s">
        <v>25</v>
      </c>
      <c r="P16" s="5" t="s">
        <v>24</v>
      </c>
      <c r="Q16" s="5" t="s">
        <v>25</v>
      </c>
      <c r="R16" s="5" t="s">
        <v>27</v>
      </c>
      <c r="S16" s="5" t="s">
        <v>25</v>
      </c>
      <c r="T16" s="5" t="s">
        <v>24</v>
      </c>
      <c r="U16" s="5" t="s">
        <v>25</v>
      </c>
    </row>
    <row r="17" customFormat="false" ht="15" hidden="false" customHeight="false" outlineLevel="0" collapsed="false">
      <c r="A17" s="4" t="s">
        <v>40</v>
      </c>
      <c r="B17" s="5" t="s">
        <v>24</v>
      </c>
      <c r="C17" s="5" t="s">
        <v>24</v>
      </c>
      <c r="D17" s="5" t="s">
        <v>24</v>
      </c>
      <c r="E17" s="5" t="s">
        <v>28</v>
      </c>
      <c r="F17" s="5" t="s">
        <v>26</v>
      </c>
      <c r="G17" s="5" t="s">
        <v>26</v>
      </c>
      <c r="H17" s="5" t="s">
        <v>25</v>
      </c>
      <c r="I17" s="5" t="s">
        <v>25</v>
      </c>
      <c r="J17" s="5" t="s">
        <v>28</v>
      </c>
      <c r="K17" s="5"/>
      <c r="L17" s="5" t="s">
        <v>24</v>
      </c>
      <c r="M17" s="5" t="s">
        <v>26</v>
      </c>
      <c r="N17" s="5" t="s">
        <v>24</v>
      </c>
      <c r="O17" s="5" t="s">
        <v>24</v>
      </c>
      <c r="P17" s="5" t="s">
        <v>25</v>
      </c>
      <c r="Q17" s="5" t="s">
        <v>28</v>
      </c>
      <c r="R17" s="5" t="s">
        <v>24</v>
      </c>
      <c r="S17" s="5" t="s">
        <v>25</v>
      </c>
      <c r="T17" s="5" t="s">
        <v>24</v>
      </c>
      <c r="U17" s="5" t="s">
        <v>28</v>
      </c>
    </row>
    <row r="18" customFormat="false" ht="15" hidden="false" customHeight="false" outlineLevel="0" collapsed="false">
      <c r="A18" s="4" t="s">
        <v>41</v>
      </c>
      <c r="B18" s="5" t="s">
        <v>24</v>
      </c>
      <c r="C18" s="5" t="s">
        <v>26</v>
      </c>
      <c r="D18" s="5" t="s">
        <v>27</v>
      </c>
      <c r="E18" s="5" t="s">
        <v>26</v>
      </c>
      <c r="F18" s="5" t="s">
        <v>24</v>
      </c>
      <c r="G18" s="5" t="s">
        <v>26</v>
      </c>
      <c r="H18" s="5" t="s">
        <v>28</v>
      </c>
      <c r="I18" s="5" t="s">
        <v>28</v>
      </c>
      <c r="J18" s="5"/>
      <c r="K18" s="5" t="s">
        <v>28</v>
      </c>
      <c r="L18" s="5" t="s">
        <v>24</v>
      </c>
      <c r="M18" s="5" t="s">
        <v>26</v>
      </c>
      <c r="N18" s="5" t="s">
        <v>27</v>
      </c>
      <c r="O18" s="5" t="s">
        <v>25</v>
      </c>
      <c r="P18" s="5" t="s">
        <v>25</v>
      </c>
      <c r="Q18" s="5" t="s">
        <v>28</v>
      </c>
      <c r="R18" s="5" t="s">
        <v>24</v>
      </c>
      <c r="S18" s="5" t="s">
        <v>26</v>
      </c>
      <c r="T18" s="5" t="s">
        <v>24</v>
      </c>
      <c r="U18" s="5" t="s">
        <v>26</v>
      </c>
    </row>
    <row r="19" customFormat="false" ht="15" hidden="false" customHeight="false" outlineLevel="0" collapsed="false">
      <c r="A19" s="4" t="s">
        <v>42</v>
      </c>
      <c r="B19" s="5" t="s">
        <v>27</v>
      </c>
      <c r="C19" s="5" t="s">
        <v>26</v>
      </c>
      <c r="D19" s="5" t="s">
        <v>27</v>
      </c>
      <c r="E19" s="5" t="s">
        <v>28</v>
      </c>
      <c r="F19" s="5" t="s">
        <v>24</v>
      </c>
      <c r="G19" s="5" t="s">
        <v>26</v>
      </c>
      <c r="H19" s="5" t="s">
        <v>24</v>
      </c>
      <c r="I19" s="5" t="s">
        <v>25</v>
      </c>
      <c r="J19" s="5" t="s">
        <v>27</v>
      </c>
      <c r="K19" s="5" t="s">
        <v>25</v>
      </c>
      <c r="L19" s="5" t="s">
        <v>24</v>
      </c>
      <c r="M19" s="5" t="s">
        <v>26</v>
      </c>
      <c r="N19" s="5" t="s">
        <v>24</v>
      </c>
      <c r="O19" s="5" t="s">
        <v>28</v>
      </c>
      <c r="P19" s="5" t="s">
        <v>24</v>
      </c>
      <c r="Q19" s="5" t="s">
        <v>25</v>
      </c>
      <c r="R19" s="5" t="s">
        <v>28</v>
      </c>
      <c r="S19" s="5" t="s">
        <v>28</v>
      </c>
      <c r="T19" s="5" t="s">
        <v>27</v>
      </c>
      <c r="U19" s="5" t="s">
        <v>25</v>
      </c>
    </row>
    <row r="20" customFormat="false" ht="15" hidden="false" customHeight="false" outlineLevel="0" collapsed="false">
      <c r="A20" s="4" t="s">
        <v>43</v>
      </c>
      <c r="B20" s="5" t="s">
        <v>26</v>
      </c>
      <c r="C20" s="5" t="s">
        <v>26</v>
      </c>
      <c r="D20" s="5" t="s">
        <v>26</v>
      </c>
      <c r="E20" s="5" t="s">
        <v>26</v>
      </c>
      <c r="F20" s="5" t="s">
        <v>26</v>
      </c>
      <c r="G20" s="5" t="s">
        <v>26</v>
      </c>
      <c r="H20" s="5" t="s">
        <v>26</v>
      </c>
      <c r="I20" s="5" t="s">
        <v>26</v>
      </c>
      <c r="J20" s="5" t="s">
        <v>26</v>
      </c>
      <c r="K20" s="5" t="s">
        <v>26</v>
      </c>
      <c r="L20" s="5" t="s">
        <v>26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5" t="s">
        <v>26</v>
      </c>
      <c r="S20" s="5" t="s">
        <v>26</v>
      </c>
      <c r="T20" s="5" t="s">
        <v>26</v>
      </c>
      <c r="U20" s="5" t="s">
        <v>26</v>
      </c>
    </row>
    <row r="21" customFormat="false" ht="15" hidden="false" customHeight="false" outlineLevel="0" collapsed="false">
      <c r="A21" s="4" t="s">
        <v>44</v>
      </c>
      <c r="B21" s="5" t="s">
        <v>24</v>
      </c>
      <c r="C21" s="5" t="s">
        <v>24</v>
      </c>
      <c r="D21" s="5" t="s">
        <v>24</v>
      </c>
      <c r="E21" s="5" t="s">
        <v>24</v>
      </c>
      <c r="F21" s="5" t="s">
        <v>24</v>
      </c>
      <c r="G21" s="5" t="s">
        <v>24</v>
      </c>
      <c r="H21" s="5" t="s">
        <v>24</v>
      </c>
      <c r="I21" s="5" t="s">
        <v>24</v>
      </c>
      <c r="J21" s="5" t="s">
        <v>24</v>
      </c>
      <c r="K21" s="5" t="s">
        <v>24</v>
      </c>
      <c r="L21" s="5" t="s">
        <v>24</v>
      </c>
      <c r="M21" s="5" t="s">
        <v>24</v>
      </c>
      <c r="N21" s="5" t="s">
        <v>24</v>
      </c>
      <c r="O21" s="5" t="s">
        <v>24</v>
      </c>
      <c r="P21" s="5" t="s">
        <v>24</v>
      </c>
      <c r="Q21" s="5" t="s">
        <v>24</v>
      </c>
      <c r="R21" s="5" t="s">
        <v>24</v>
      </c>
      <c r="S21" s="5" t="s">
        <v>24</v>
      </c>
      <c r="T21" s="5" t="s">
        <v>24</v>
      </c>
      <c r="U21" s="5" t="s">
        <v>24</v>
      </c>
    </row>
    <row r="22" customFormat="false" ht="15" hidden="false" customHeight="false" outlineLevel="0" collapsed="false">
      <c r="A22" s="4" t="s">
        <v>45</v>
      </c>
      <c r="B22" s="5" t="s">
        <v>24</v>
      </c>
      <c r="C22" s="5" t="s">
        <v>26</v>
      </c>
      <c r="D22" s="5" t="s">
        <v>27</v>
      </c>
      <c r="E22" s="5" t="s">
        <v>25</v>
      </c>
      <c r="F22" s="5" t="s">
        <v>28</v>
      </c>
      <c r="G22" s="5" t="s">
        <v>27</v>
      </c>
      <c r="H22" s="5" t="s">
        <v>27</v>
      </c>
      <c r="I22" s="5" t="s">
        <v>28</v>
      </c>
      <c r="J22" s="5" t="s">
        <v>27</v>
      </c>
      <c r="K22" s="5" t="s">
        <v>25</v>
      </c>
      <c r="L22" s="5" t="s">
        <v>28</v>
      </c>
      <c r="M22" s="5" t="s">
        <v>28</v>
      </c>
      <c r="N22" s="5" t="s">
        <v>24</v>
      </c>
      <c r="O22" s="5" t="s">
        <v>28</v>
      </c>
      <c r="P22" s="5" t="s">
        <v>27</v>
      </c>
      <c r="Q22" s="5" t="s">
        <v>26</v>
      </c>
      <c r="R22" s="5" t="s">
        <v>27</v>
      </c>
      <c r="S22" s="5" t="s">
        <v>25</v>
      </c>
      <c r="T22" s="5" t="s">
        <v>24</v>
      </c>
      <c r="U22" s="5" t="s">
        <v>26</v>
      </c>
    </row>
    <row r="23" customFormat="false" ht="15" hidden="false" customHeight="false" outlineLevel="0" collapsed="false">
      <c r="A23" s="4" t="s">
        <v>46</v>
      </c>
      <c r="B23" s="5" t="s">
        <v>27</v>
      </c>
      <c r="C23" s="5" t="s">
        <v>27</v>
      </c>
      <c r="D23" s="5" t="s">
        <v>25</v>
      </c>
      <c r="E23" s="5"/>
      <c r="F23" s="5" t="s">
        <v>27</v>
      </c>
      <c r="G23" s="5"/>
      <c r="H23" s="5" t="s">
        <v>27</v>
      </c>
      <c r="I23" s="5" t="s">
        <v>28</v>
      </c>
      <c r="J23" s="5" t="s">
        <v>25</v>
      </c>
      <c r="K23" s="5"/>
      <c r="L23" s="5" t="s">
        <v>24</v>
      </c>
      <c r="M23" s="5" t="s">
        <v>24</v>
      </c>
      <c r="N23" s="5" t="s">
        <v>24</v>
      </c>
      <c r="O23" s="5"/>
      <c r="P23" s="5" t="s">
        <v>28</v>
      </c>
      <c r="Q23" s="5"/>
      <c r="R23" s="5" t="s">
        <v>25</v>
      </c>
      <c r="S23" s="5"/>
      <c r="T23" s="5" t="s">
        <v>24</v>
      </c>
      <c r="U23" s="5" t="s">
        <v>24</v>
      </c>
    </row>
    <row r="24" customFormat="false" ht="15" hidden="false" customHeight="false" outlineLevel="0" collapsed="false">
      <c r="A24" s="4" t="s">
        <v>47</v>
      </c>
      <c r="B24" s="5" t="s">
        <v>24</v>
      </c>
      <c r="C24" s="5" t="s">
        <v>27</v>
      </c>
      <c r="D24" s="5" t="s">
        <v>28</v>
      </c>
      <c r="E24" s="5" t="s">
        <v>27</v>
      </c>
      <c r="F24" s="5" t="s">
        <v>28</v>
      </c>
      <c r="G24" s="5" t="s">
        <v>28</v>
      </c>
      <c r="H24" s="5"/>
      <c r="I24" s="5" t="s">
        <v>27</v>
      </c>
      <c r="J24" s="5" t="s">
        <v>24</v>
      </c>
      <c r="K24" s="5" t="s">
        <v>26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25</v>
      </c>
      <c r="R24" s="5" t="s">
        <v>25</v>
      </c>
      <c r="S24" s="5" t="s">
        <v>28</v>
      </c>
      <c r="T24" s="5" t="s">
        <v>28</v>
      </c>
      <c r="U24" s="5" t="s">
        <v>27</v>
      </c>
    </row>
    <row r="25" customFormat="false" ht="15" hidden="false" customHeight="false" outlineLevel="0" collapsed="false">
      <c r="A25" s="4" t="s">
        <v>48</v>
      </c>
      <c r="B25" s="5" t="s">
        <v>24</v>
      </c>
      <c r="C25" s="5" t="s">
        <v>28</v>
      </c>
      <c r="D25" s="5" t="s">
        <v>24</v>
      </c>
      <c r="E25" s="5" t="s">
        <v>26</v>
      </c>
      <c r="F25" s="5" t="s">
        <v>24</v>
      </c>
      <c r="G25" s="5" t="s">
        <v>26</v>
      </c>
      <c r="H25" s="5" t="s">
        <v>26</v>
      </c>
      <c r="I25" s="5" t="s">
        <v>26</v>
      </c>
      <c r="J25" s="5" t="s">
        <v>26</v>
      </c>
      <c r="K25" s="5" t="s">
        <v>26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5" t="s">
        <v>26</v>
      </c>
      <c r="S25" s="5" t="s">
        <v>26</v>
      </c>
      <c r="T25" s="5" t="s">
        <v>26</v>
      </c>
      <c r="U25" s="5" t="s">
        <v>26</v>
      </c>
    </row>
    <row r="26" customFormat="false" ht="15" hidden="false" customHeight="false" outlineLevel="0" collapsed="false">
      <c r="A26" s="4" t="s">
        <v>49</v>
      </c>
      <c r="B26" s="5" t="s">
        <v>24</v>
      </c>
      <c r="C26" s="5" t="s">
        <v>26</v>
      </c>
      <c r="D26" s="5" t="s">
        <v>24</v>
      </c>
      <c r="E26" s="5" t="s">
        <v>26</v>
      </c>
      <c r="F26" s="5" t="s">
        <v>24</v>
      </c>
      <c r="G26" s="5" t="s">
        <v>26</v>
      </c>
      <c r="H26" s="5" t="s">
        <v>24</v>
      </c>
      <c r="I26" s="5" t="s">
        <v>26</v>
      </c>
      <c r="J26" s="5" t="s">
        <v>24</v>
      </c>
      <c r="K26" s="5" t="s">
        <v>26</v>
      </c>
      <c r="L26" s="5" t="s">
        <v>24</v>
      </c>
      <c r="M26" s="5" t="s">
        <v>26</v>
      </c>
      <c r="N26" s="5" t="s">
        <v>24</v>
      </c>
      <c r="O26" s="5" t="s">
        <v>26</v>
      </c>
      <c r="P26" s="5" t="s">
        <v>24</v>
      </c>
      <c r="Q26" s="5" t="s">
        <v>26</v>
      </c>
      <c r="R26" s="5" t="s">
        <v>24</v>
      </c>
      <c r="S26" s="5" t="s">
        <v>26</v>
      </c>
      <c r="T26" s="5" t="s">
        <v>24</v>
      </c>
      <c r="U26" s="5" t="s">
        <v>26</v>
      </c>
    </row>
    <row r="27" customFormat="false" ht="15" hidden="false" customHeight="false" outlineLevel="0" collapsed="false">
      <c r="A27" s="4" t="s">
        <v>50</v>
      </c>
      <c r="B27" s="5" t="s">
        <v>24</v>
      </c>
      <c r="C27" s="5" t="s">
        <v>27</v>
      </c>
      <c r="D27" s="5" t="s">
        <v>27</v>
      </c>
      <c r="E27" s="5" t="s">
        <v>28</v>
      </c>
      <c r="F27" s="5" t="s">
        <v>27</v>
      </c>
      <c r="G27" s="5" t="s">
        <v>27</v>
      </c>
      <c r="H27" s="5" t="s">
        <v>28</v>
      </c>
      <c r="I27" s="5" t="s">
        <v>28</v>
      </c>
      <c r="J27" s="5" t="s">
        <v>28</v>
      </c>
      <c r="K27" s="5" t="s">
        <v>28</v>
      </c>
      <c r="L27" s="5" t="s">
        <v>25</v>
      </c>
      <c r="M27" s="5" t="s">
        <v>28</v>
      </c>
      <c r="N27" s="5" t="s">
        <v>28</v>
      </c>
      <c r="O27" s="5" t="s">
        <v>28</v>
      </c>
      <c r="P27" s="5" t="s">
        <v>24</v>
      </c>
      <c r="Q27" s="5" t="s">
        <v>25</v>
      </c>
      <c r="R27" s="5" t="s">
        <v>26</v>
      </c>
      <c r="S27" s="5" t="s">
        <v>27</v>
      </c>
      <c r="T27" s="5" t="s">
        <v>24</v>
      </c>
      <c r="U27" s="5" t="s">
        <v>26</v>
      </c>
    </row>
    <row r="28" customFormat="false" ht="15" hidden="false" customHeight="false" outlineLevel="0" collapsed="false">
      <c r="A28" s="4" t="s">
        <v>51</v>
      </c>
      <c r="B28" s="5" t="s">
        <v>24</v>
      </c>
      <c r="C28" s="5" t="s">
        <v>28</v>
      </c>
      <c r="D28" s="5" t="s">
        <v>24</v>
      </c>
      <c r="E28" s="5" t="s">
        <v>26</v>
      </c>
      <c r="F28" s="5" t="s">
        <v>24</v>
      </c>
      <c r="G28" s="5" t="s">
        <v>26</v>
      </c>
      <c r="H28" s="5" t="s">
        <v>24</v>
      </c>
      <c r="I28" s="5" t="s">
        <v>26</v>
      </c>
      <c r="J28" s="5" t="s">
        <v>24</v>
      </c>
      <c r="K28" s="5" t="s">
        <v>26</v>
      </c>
      <c r="L28" s="5" t="s">
        <v>24</v>
      </c>
      <c r="M28" s="5" t="s">
        <v>28</v>
      </c>
      <c r="N28" s="5" t="s">
        <v>24</v>
      </c>
      <c r="O28" s="5" t="s">
        <v>26</v>
      </c>
      <c r="P28" s="5" t="s">
        <v>24</v>
      </c>
      <c r="Q28" s="5" t="s">
        <v>26</v>
      </c>
      <c r="R28" s="5" t="s">
        <v>28</v>
      </c>
      <c r="S28" s="5"/>
      <c r="T28" s="5" t="s">
        <v>24</v>
      </c>
      <c r="U28" s="5" t="s">
        <v>26</v>
      </c>
    </row>
    <row r="29" customFormat="false" ht="15" hidden="false" customHeight="false" outlineLevel="0" collapsed="false">
      <c r="A29" s="4" t="s">
        <v>52</v>
      </c>
      <c r="B29" s="5" t="s">
        <v>27</v>
      </c>
      <c r="C29" s="5" t="s">
        <v>25</v>
      </c>
      <c r="D29" s="5" t="s">
        <v>24</v>
      </c>
      <c r="E29" s="5" t="s">
        <v>25</v>
      </c>
      <c r="F29" s="5" t="s">
        <v>28</v>
      </c>
      <c r="G29" s="5" t="s">
        <v>28</v>
      </c>
      <c r="H29" s="5" t="s">
        <v>27</v>
      </c>
      <c r="I29" s="5" t="s">
        <v>25</v>
      </c>
      <c r="J29" s="5" t="s">
        <v>25</v>
      </c>
      <c r="K29" s="5" t="s">
        <v>25</v>
      </c>
      <c r="L29" s="5" t="s">
        <v>28</v>
      </c>
      <c r="M29" s="5" t="s">
        <v>28</v>
      </c>
      <c r="N29" s="5" t="s">
        <v>24</v>
      </c>
      <c r="O29" s="5" t="s">
        <v>26</v>
      </c>
      <c r="P29" s="5" t="s">
        <v>27</v>
      </c>
      <c r="Q29" s="5" t="s">
        <v>28</v>
      </c>
      <c r="R29" s="5" t="s">
        <v>27</v>
      </c>
      <c r="S29" s="5" t="s">
        <v>26</v>
      </c>
      <c r="T29" s="5" t="s">
        <v>27</v>
      </c>
      <c r="U29" s="5" t="s">
        <v>26</v>
      </c>
    </row>
    <row r="30" customFormat="false" ht="15" hidden="false" customHeight="false" outlineLevel="0" collapsed="false">
      <c r="A30" s="4" t="s">
        <v>53</v>
      </c>
      <c r="B30" s="5" t="s">
        <v>27</v>
      </c>
      <c r="C30" s="5" t="s">
        <v>25</v>
      </c>
      <c r="D30" s="5" t="s">
        <v>27</v>
      </c>
      <c r="E30" s="5" t="s">
        <v>25</v>
      </c>
      <c r="F30" s="5" t="s">
        <v>24</v>
      </c>
      <c r="G30" s="5" t="s">
        <v>26</v>
      </c>
      <c r="H30" s="5" t="s">
        <v>24</v>
      </c>
      <c r="I30" s="5" t="s">
        <v>26</v>
      </c>
      <c r="J30" s="5" t="s">
        <v>28</v>
      </c>
      <c r="K30" s="5" t="s">
        <v>28</v>
      </c>
      <c r="L30" s="5" t="s">
        <v>27</v>
      </c>
      <c r="M30" s="5" t="s">
        <v>26</v>
      </c>
      <c r="N30" s="5" t="s">
        <v>24</v>
      </c>
      <c r="O30" s="5" t="s">
        <v>26</v>
      </c>
      <c r="P30" s="5" t="s">
        <v>27</v>
      </c>
      <c r="Q30" s="5" t="s">
        <v>25</v>
      </c>
      <c r="R30" s="5" t="s">
        <v>24</v>
      </c>
      <c r="S30" s="5" t="s">
        <v>28</v>
      </c>
      <c r="T30" s="5" t="s">
        <v>27</v>
      </c>
      <c r="U30" s="5" t="s">
        <v>28</v>
      </c>
    </row>
    <row r="31" customFormat="false" ht="15" hidden="false" customHeight="false" outlineLevel="0" collapsed="false">
      <c r="A31" s="4" t="s">
        <v>54</v>
      </c>
      <c r="B31" s="5" t="s">
        <v>27</v>
      </c>
      <c r="C31" s="5" t="s">
        <v>28</v>
      </c>
      <c r="D31" s="5" t="s">
        <v>24</v>
      </c>
      <c r="E31" s="5" t="s">
        <v>27</v>
      </c>
      <c r="F31" s="5" t="s">
        <v>24</v>
      </c>
      <c r="G31" s="5" t="s">
        <v>26</v>
      </c>
      <c r="H31" s="5" t="s">
        <v>24</v>
      </c>
      <c r="I31" s="5" t="s">
        <v>25</v>
      </c>
      <c r="J31" s="5" t="s">
        <v>24</v>
      </c>
      <c r="K31" s="5" t="s">
        <v>25</v>
      </c>
      <c r="L31" s="5" t="s">
        <v>24</v>
      </c>
      <c r="M31" s="5" t="s">
        <v>26</v>
      </c>
      <c r="N31" s="5" t="s">
        <v>27</v>
      </c>
      <c r="O31" s="5" t="s">
        <v>26</v>
      </c>
      <c r="P31" s="5" t="s">
        <v>27</v>
      </c>
      <c r="Q31" s="5" t="s">
        <v>25</v>
      </c>
      <c r="R31" s="5" t="s">
        <v>24</v>
      </c>
      <c r="S31" s="5" t="s">
        <v>26</v>
      </c>
      <c r="T31" s="5" t="s">
        <v>24</v>
      </c>
      <c r="U31" s="5" t="s">
        <v>25</v>
      </c>
    </row>
    <row r="32" customFormat="false" ht="15" hidden="false" customHeight="false" outlineLevel="0" collapsed="false">
      <c r="A32" s="4" t="s">
        <v>55</v>
      </c>
      <c r="B32" s="5" t="s">
        <v>26</v>
      </c>
      <c r="C32" s="5" t="s">
        <v>26</v>
      </c>
      <c r="D32" s="5" t="s">
        <v>26</v>
      </c>
      <c r="E32" s="5" t="s">
        <v>26</v>
      </c>
      <c r="F32" s="5" t="s">
        <v>26</v>
      </c>
      <c r="G32" s="5" t="s">
        <v>26</v>
      </c>
      <c r="H32" s="5" t="s">
        <v>26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5" t="s">
        <v>26</v>
      </c>
      <c r="S32" s="5" t="s">
        <v>26</v>
      </c>
      <c r="T32" s="5" t="s">
        <v>26</v>
      </c>
      <c r="U32" s="5" t="s">
        <v>26</v>
      </c>
    </row>
    <row r="33" customFormat="false" ht="15" hidden="false" customHeight="false" outlineLevel="0" collapsed="false">
      <c r="A33" s="4" t="s">
        <v>56</v>
      </c>
      <c r="B33" s="5" t="s">
        <v>24</v>
      </c>
      <c r="C33" s="5" t="s">
        <v>28</v>
      </c>
      <c r="D33" s="5" t="s">
        <v>24</v>
      </c>
      <c r="E33" s="5" t="s">
        <v>25</v>
      </c>
      <c r="F33" s="5" t="s">
        <v>24</v>
      </c>
      <c r="G33" s="5" t="s">
        <v>27</v>
      </c>
      <c r="H33" s="5" t="s">
        <v>24</v>
      </c>
      <c r="I33" s="5" t="s">
        <v>27</v>
      </c>
      <c r="J33" s="5" t="s">
        <v>28</v>
      </c>
      <c r="K33" s="5" t="s">
        <v>28</v>
      </c>
      <c r="L33" s="5" t="s">
        <v>26</v>
      </c>
      <c r="M33" s="5" t="s">
        <v>27</v>
      </c>
      <c r="N33" s="5" t="s">
        <v>24</v>
      </c>
      <c r="O33" s="5" t="s">
        <v>28</v>
      </c>
      <c r="P33" s="5" t="s">
        <v>24</v>
      </c>
      <c r="Q33" s="5" t="s">
        <v>25</v>
      </c>
      <c r="R33" s="5" t="s">
        <v>26</v>
      </c>
      <c r="S33" s="5" t="s">
        <v>26</v>
      </c>
      <c r="T33" s="5" t="s">
        <v>24</v>
      </c>
      <c r="U33" s="5" t="s">
        <v>25</v>
      </c>
    </row>
    <row r="34" customFormat="false" ht="15" hidden="false" customHeight="false" outlineLevel="0" collapsed="false">
      <c r="A34" s="4" t="s">
        <v>57</v>
      </c>
      <c r="B34" s="5" t="s">
        <v>24</v>
      </c>
      <c r="C34" s="5" t="s">
        <v>28</v>
      </c>
      <c r="D34" s="5" t="s">
        <v>24</v>
      </c>
      <c r="E34" s="5" t="s">
        <v>28</v>
      </c>
      <c r="F34" s="5" t="s">
        <v>24</v>
      </c>
      <c r="G34" s="5" t="s">
        <v>25</v>
      </c>
      <c r="H34" s="5" t="s">
        <v>27</v>
      </c>
      <c r="I34" s="5" t="s">
        <v>28</v>
      </c>
      <c r="J34" s="5" t="s">
        <v>26</v>
      </c>
      <c r="K34" s="5" t="s">
        <v>28</v>
      </c>
      <c r="L34" s="5" t="s">
        <v>26</v>
      </c>
      <c r="M34" s="5" t="s">
        <v>24</v>
      </c>
      <c r="N34" s="5" t="s">
        <v>24</v>
      </c>
      <c r="O34" s="5" t="s">
        <v>28</v>
      </c>
      <c r="P34" s="5" t="s">
        <v>24</v>
      </c>
      <c r="Q34" s="5" t="s">
        <v>25</v>
      </c>
      <c r="R34" s="5" t="s">
        <v>24</v>
      </c>
      <c r="S34" s="5" t="s">
        <v>28</v>
      </c>
      <c r="T34" s="5" t="s">
        <v>24</v>
      </c>
      <c r="U34" s="5" t="s">
        <v>25</v>
      </c>
    </row>
    <row r="35" customFormat="false" ht="15" hidden="false" customHeight="false" outlineLevel="0" collapsed="false">
      <c r="A35" s="4" t="s">
        <v>58</v>
      </c>
      <c r="B35" s="5" t="s">
        <v>24</v>
      </c>
      <c r="C35" s="5" t="s">
        <v>25</v>
      </c>
      <c r="D35" s="5" t="s">
        <v>27</v>
      </c>
      <c r="E35" s="5" t="s">
        <v>26</v>
      </c>
      <c r="F35" s="5" t="s">
        <v>26</v>
      </c>
      <c r="G35" s="5" t="s">
        <v>28</v>
      </c>
      <c r="H35" s="5" t="s">
        <v>24</v>
      </c>
      <c r="I35" s="5" t="s">
        <v>28</v>
      </c>
      <c r="J35" s="5" t="s">
        <v>27</v>
      </c>
      <c r="K35" s="5" t="s">
        <v>25</v>
      </c>
      <c r="L35" s="5" t="s">
        <v>24</v>
      </c>
      <c r="M35" s="5" t="s">
        <v>25</v>
      </c>
      <c r="N35" s="5" t="s">
        <v>24</v>
      </c>
      <c r="O35" s="5" t="s">
        <v>28</v>
      </c>
      <c r="P35" s="5" t="s">
        <v>28</v>
      </c>
      <c r="Q35" s="5" t="s">
        <v>26</v>
      </c>
      <c r="R35" s="5" t="s">
        <v>28</v>
      </c>
      <c r="S35" s="5" t="s">
        <v>28</v>
      </c>
      <c r="T35" s="5" t="s">
        <v>28</v>
      </c>
      <c r="U35" s="5" t="s">
        <v>28</v>
      </c>
    </row>
    <row r="36" customFormat="false" ht="15" hidden="false" customHeight="false" outlineLevel="0" collapsed="false">
      <c r="A36" s="4" t="s">
        <v>59</v>
      </c>
      <c r="B36" s="5" t="s">
        <v>24</v>
      </c>
      <c r="C36" s="5" t="s">
        <v>28</v>
      </c>
      <c r="D36" s="5" t="s">
        <v>24</v>
      </c>
      <c r="E36" s="5" t="s">
        <v>28</v>
      </c>
      <c r="F36" s="5" t="s">
        <v>24</v>
      </c>
      <c r="G36" s="5" t="s">
        <v>26</v>
      </c>
      <c r="H36" s="5" t="s">
        <v>24</v>
      </c>
      <c r="I36" s="5" t="s">
        <v>25</v>
      </c>
      <c r="J36" s="5" t="s">
        <v>24</v>
      </c>
      <c r="K36" s="5" t="s">
        <v>25</v>
      </c>
      <c r="L36" s="5" t="s">
        <v>24</v>
      </c>
      <c r="M36" s="5" t="s">
        <v>25</v>
      </c>
      <c r="N36" s="5" t="s">
        <v>25</v>
      </c>
      <c r="O36" s="5" t="s">
        <v>25</v>
      </c>
      <c r="P36" s="5" t="s">
        <v>26</v>
      </c>
      <c r="Q36" s="5" t="s">
        <v>24</v>
      </c>
      <c r="R36" s="5" t="s">
        <v>26</v>
      </c>
      <c r="S36" s="5" t="s">
        <v>24</v>
      </c>
      <c r="T36" s="5" t="s">
        <v>24</v>
      </c>
      <c r="U36" s="5" t="s">
        <v>26</v>
      </c>
    </row>
    <row r="37" customFormat="false" ht="15" hidden="false" customHeight="false" outlineLevel="0" collapsed="false">
      <c r="A37" s="4" t="s">
        <v>60</v>
      </c>
      <c r="B37" s="5" t="s">
        <v>24</v>
      </c>
      <c r="C37" s="5" t="s">
        <v>26</v>
      </c>
      <c r="D37" s="5" t="s">
        <v>24</v>
      </c>
      <c r="E37" s="5" t="s">
        <v>25</v>
      </c>
      <c r="F37" s="5" t="s">
        <v>24</v>
      </c>
      <c r="G37" s="5" t="s">
        <v>26</v>
      </c>
      <c r="H37" s="5" t="s">
        <v>24</v>
      </c>
      <c r="I37" s="5" t="s">
        <v>26</v>
      </c>
      <c r="J37" s="5" t="s">
        <v>24</v>
      </c>
      <c r="K37" s="5" t="s">
        <v>26</v>
      </c>
      <c r="L37" s="5" t="s">
        <v>28</v>
      </c>
      <c r="M37" s="5" t="s">
        <v>28</v>
      </c>
      <c r="N37" s="5" t="s">
        <v>24</v>
      </c>
      <c r="O37" s="5" t="s">
        <v>25</v>
      </c>
      <c r="P37" s="5" t="s">
        <v>24</v>
      </c>
      <c r="Q37" s="5" t="s">
        <v>25</v>
      </c>
      <c r="R37" s="5" t="s">
        <v>24</v>
      </c>
      <c r="S37" s="5" t="s">
        <v>26</v>
      </c>
      <c r="T37" s="5" t="s">
        <v>24</v>
      </c>
      <c r="U37" s="5" t="s">
        <v>26</v>
      </c>
    </row>
    <row r="38" customFormat="false" ht="15" hidden="false" customHeight="false" outlineLevel="0" collapsed="false">
      <c r="A38" s="4" t="s">
        <v>61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customFormat="false" ht="15" hidden="false" customHeight="false" outlineLevel="0" collapsed="false">
      <c r="A39" s="4" t="s">
        <v>62</v>
      </c>
      <c r="B39" s="5" t="s">
        <v>24</v>
      </c>
      <c r="C39" s="5" t="s">
        <v>26</v>
      </c>
      <c r="D39" s="5" t="s">
        <v>24</v>
      </c>
      <c r="E39" s="5" t="s">
        <v>28</v>
      </c>
      <c r="F39" s="5" t="s">
        <v>24</v>
      </c>
      <c r="G39" s="5" t="s">
        <v>25</v>
      </c>
      <c r="H39" s="5" t="s">
        <v>24</v>
      </c>
      <c r="I39" s="5" t="s">
        <v>28</v>
      </c>
      <c r="J39" s="5" t="s">
        <v>24</v>
      </c>
      <c r="K39" s="5" t="s">
        <v>28</v>
      </c>
      <c r="L39" s="5" t="s">
        <v>24</v>
      </c>
      <c r="M39" s="5" t="s">
        <v>28</v>
      </c>
      <c r="N39" s="5" t="s">
        <v>24</v>
      </c>
      <c r="O39" s="5" t="s">
        <v>26</v>
      </c>
      <c r="P39" s="5" t="s">
        <v>24</v>
      </c>
      <c r="Q39" s="5" t="s">
        <v>28</v>
      </c>
      <c r="R39" s="5" t="s">
        <v>24</v>
      </c>
      <c r="S39" s="5" t="s">
        <v>28</v>
      </c>
      <c r="T39" s="5" t="s">
        <v>24</v>
      </c>
      <c r="U39" s="5" t="s">
        <v>28</v>
      </c>
    </row>
    <row r="40" customFormat="false" ht="15" hidden="false" customHeight="false" outlineLevel="0" collapsed="false">
      <c r="A40" s="4" t="s">
        <v>63</v>
      </c>
      <c r="B40" s="5" t="s">
        <v>24</v>
      </c>
      <c r="C40" s="5" t="s">
        <v>26</v>
      </c>
      <c r="D40" s="5" t="s">
        <v>27</v>
      </c>
      <c r="E40" s="5" t="s">
        <v>26</v>
      </c>
      <c r="F40" s="5" t="s">
        <v>27</v>
      </c>
      <c r="G40" s="5" t="s">
        <v>26</v>
      </c>
      <c r="H40" s="5" t="s">
        <v>24</v>
      </c>
      <c r="I40" s="5" t="s">
        <v>26</v>
      </c>
      <c r="J40" s="5" t="s">
        <v>24</v>
      </c>
      <c r="K40" s="5" t="s">
        <v>25</v>
      </c>
      <c r="L40" s="5" t="s">
        <v>28</v>
      </c>
      <c r="M40" s="5" t="s">
        <v>28</v>
      </c>
      <c r="N40" s="5" t="s">
        <v>27</v>
      </c>
      <c r="O40" s="5" t="s">
        <v>26</v>
      </c>
      <c r="P40" s="5" t="s">
        <v>24</v>
      </c>
      <c r="Q40" s="5" t="s">
        <v>26</v>
      </c>
      <c r="R40" s="5" t="s">
        <v>27</v>
      </c>
      <c r="S40" s="5" t="s">
        <v>26</v>
      </c>
      <c r="T40" s="5" t="s">
        <v>27</v>
      </c>
      <c r="U40" s="5" t="s">
        <v>26</v>
      </c>
    </row>
    <row r="41" customFormat="false" ht="15" hidden="false" customHeight="false" outlineLevel="0" collapsed="false">
      <c r="A41" s="4" t="s">
        <v>64</v>
      </c>
      <c r="B41" s="5" t="s">
        <v>24</v>
      </c>
      <c r="C41" s="5" t="s">
        <v>25</v>
      </c>
      <c r="D41" s="5" t="s">
        <v>24</v>
      </c>
      <c r="E41" s="5" t="s">
        <v>25</v>
      </c>
      <c r="F41" s="5" t="s">
        <v>27</v>
      </c>
      <c r="G41" s="5" t="s">
        <v>27</v>
      </c>
      <c r="H41" s="5" t="s">
        <v>27</v>
      </c>
      <c r="I41" s="5" t="s">
        <v>25</v>
      </c>
      <c r="J41" s="5" t="s">
        <v>26</v>
      </c>
      <c r="K41" s="5" t="s">
        <v>27</v>
      </c>
      <c r="L41" s="5" t="s">
        <v>24</v>
      </c>
      <c r="M41" s="5" t="s">
        <v>26</v>
      </c>
      <c r="N41" s="5" t="s">
        <v>24</v>
      </c>
      <c r="O41" s="5" t="s">
        <v>26</v>
      </c>
      <c r="P41" s="5" t="s">
        <v>24</v>
      </c>
      <c r="Q41" s="5" t="s">
        <v>26</v>
      </c>
      <c r="R41" s="5" t="s">
        <v>27</v>
      </c>
      <c r="S41" s="5" t="s">
        <v>25</v>
      </c>
      <c r="T41" s="5" t="s">
        <v>24</v>
      </c>
      <c r="U41" s="5" t="s">
        <v>26</v>
      </c>
    </row>
    <row r="42" customFormat="false" ht="15" hidden="false" customHeight="false" outlineLevel="0" collapsed="false">
      <c r="A42" s="4" t="s">
        <v>65</v>
      </c>
      <c r="B42" s="5" t="s">
        <v>24</v>
      </c>
      <c r="C42" s="5" t="s">
        <v>25</v>
      </c>
      <c r="D42" s="5" t="s">
        <v>24</v>
      </c>
      <c r="E42" s="5" t="s">
        <v>28</v>
      </c>
      <c r="F42" s="5" t="s">
        <v>27</v>
      </c>
      <c r="G42" s="5" t="s">
        <v>26</v>
      </c>
      <c r="H42" s="5" t="s">
        <v>27</v>
      </c>
      <c r="I42" s="5" t="s">
        <v>25</v>
      </c>
      <c r="J42" s="5" t="s">
        <v>24</v>
      </c>
      <c r="K42" s="5" t="s">
        <v>25</v>
      </c>
      <c r="L42" s="5" t="s">
        <v>28</v>
      </c>
      <c r="M42" s="5" t="s">
        <v>28</v>
      </c>
      <c r="N42" s="5" t="s">
        <v>24</v>
      </c>
      <c r="O42" s="5" t="s">
        <v>25</v>
      </c>
      <c r="P42" s="5" t="s">
        <v>24</v>
      </c>
      <c r="Q42" s="5" t="s">
        <v>26</v>
      </c>
      <c r="R42" s="5" t="s">
        <v>24</v>
      </c>
      <c r="S42" s="5" t="s">
        <v>26</v>
      </c>
      <c r="T42" s="5" t="s">
        <v>24</v>
      </c>
      <c r="U42" s="5" t="s">
        <v>26</v>
      </c>
    </row>
    <row r="43" customFormat="false" ht="15" hidden="false" customHeight="false" outlineLevel="0" collapsed="false">
      <c r="A43" s="4" t="s">
        <v>66</v>
      </c>
      <c r="B43" s="5" t="s">
        <v>24</v>
      </c>
      <c r="C43" s="5" t="s">
        <v>28</v>
      </c>
      <c r="D43" s="5" t="s">
        <v>24</v>
      </c>
      <c r="E43" s="5" t="s">
        <v>26</v>
      </c>
      <c r="F43" s="5" t="s">
        <v>24</v>
      </c>
      <c r="G43" s="5" t="s">
        <v>26</v>
      </c>
      <c r="H43" s="5" t="s">
        <v>24</v>
      </c>
      <c r="I43" s="5" t="s">
        <v>26</v>
      </c>
      <c r="J43" s="5" t="s">
        <v>24</v>
      </c>
      <c r="K43" s="5" t="s">
        <v>26</v>
      </c>
      <c r="L43" s="5" t="s">
        <v>24</v>
      </c>
      <c r="M43" s="5" t="s">
        <v>26</v>
      </c>
      <c r="N43" s="5" t="s">
        <v>24</v>
      </c>
      <c r="O43" s="5" t="s">
        <v>26</v>
      </c>
      <c r="P43" s="5" t="s">
        <v>24</v>
      </c>
      <c r="Q43" s="5" t="s">
        <v>26</v>
      </c>
      <c r="R43" s="5" t="s">
        <v>24</v>
      </c>
      <c r="S43" s="5" t="s">
        <v>26</v>
      </c>
      <c r="T43" s="5" t="s">
        <v>24</v>
      </c>
      <c r="U43" s="5" t="s">
        <v>26</v>
      </c>
    </row>
    <row r="44" customFormat="false" ht="15" hidden="false" customHeight="false" outlineLevel="0" collapsed="false">
      <c r="A44" s="4" t="s">
        <v>67</v>
      </c>
      <c r="B44" s="5" t="s">
        <v>24</v>
      </c>
      <c r="C44" s="5" t="s">
        <v>26</v>
      </c>
      <c r="D44" s="5" t="s">
        <v>24</v>
      </c>
      <c r="E44" s="5" t="s">
        <v>26</v>
      </c>
      <c r="F44" s="5" t="s">
        <v>27</v>
      </c>
      <c r="G44" s="5" t="s">
        <v>26</v>
      </c>
      <c r="H44" s="5" t="s">
        <v>24</v>
      </c>
      <c r="I44" s="5" t="s">
        <v>26</v>
      </c>
      <c r="J44" s="5" t="s">
        <v>24</v>
      </c>
      <c r="K44" s="5" t="s">
        <v>26</v>
      </c>
      <c r="L44" s="5" t="s">
        <v>25</v>
      </c>
      <c r="M44" s="5" t="s">
        <v>25</v>
      </c>
      <c r="N44" s="5" t="s">
        <v>27</v>
      </c>
      <c r="O44" s="5" t="s">
        <v>26</v>
      </c>
      <c r="P44" s="5" t="s">
        <v>28</v>
      </c>
      <c r="Q44" s="5" t="s">
        <v>28</v>
      </c>
      <c r="R44" s="5" t="s">
        <v>27</v>
      </c>
      <c r="S44" s="5" t="s">
        <v>26</v>
      </c>
      <c r="T44" s="5" t="s">
        <v>27</v>
      </c>
      <c r="U44" s="5" t="s">
        <v>26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8"/>
  </cols>
  <sheetData>
    <row r="1" customFormat="false" ht="16.15" hidden="false" customHeight="false" outlineLevel="0" collapsed="false">
      <c r="A1" s="1" t="s">
        <v>68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  <c r="F2" s="2"/>
    </row>
    <row r="4" customFormat="false" ht="28.35" hidden="false" customHeight="false" outlineLevel="0" collapsed="false">
      <c r="A4" s="3" t="s">
        <v>70</v>
      </c>
      <c r="B4" s="3" t="s">
        <v>24</v>
      </c>
      <c r="C4" s="3" t="s">
        <v>27</v>
      </c>
      <c r="D4" s="3" t="s">
        <v>28</v>
      </c>
      <c r="E4" s="3" t="s">
        <v>25</v>
      </c>
      <c r="F4" s="3" t="s">
        <v>26</v>
      </c>
    </row>
    <row r="5" customFormat="false" ht="15" hidden="false" customHeight="false" outlineLevel="0" collapsed="false">
      <c r="A5" s="6" t="s">
        <v>24</v>
      </c>
      <c r="B5" s="7" t="s">
        <v>71</v>
      </c>
      <c r="C5" s="8" t="s">
        <v>72</v>
      </c>
      <c r="D5" s="8" t="s">
        <v>72</v>
      </c>
      <c r="E5" s="8" t="s">
        <v>72</v>
      </c>
      <c r="F5" s="9" t="s">
        <v>73</v>
      </c>
    </row>
    <row r="6" customFormat="false" ht="28.35" hidden="false" customHeight="false" outlineLevel="0" collapsed="false">
      <c r="A6" s="6" t="s">
        <v>27</v>
      </c>
      <c r="B6" s="10" t="s">
        <v>74</v>
      </c>
      <c r="C6" s="11" t="s">
        <v>75</v>
      </c>
      <c r="D6" s="11" t="s">
        <v>75</v>
      </c>
      <c r="E6" s="11" t="s">
        <v>75</v>
      </c>
      <c r="F6" s="12" t="s">
        <v>76</v>
      </c>
    </row>
    <row r="7" customFormat="false" ht="15" hidden="false" customHeight="false" outlineLevel="0" collapsed="false">
      <c r="A7" s="6" t="s">
        <v>28</v>
      </c>
      <c r="B7" s="10" t="s">
        <v>74</v>
      </c>
      <c r="C7" s="11" t="s">
        <v>75</v>
      </c>
      <c r="D7" s="11" t="s">
        <v>75</v>
      </c>
      <c r="E7" s="11" t="s">
        <v>75</v>
      </c>
      <c r="F7" s="12" t="s">
        <v>76</v>
      </c>
    </row>
    <row r="8" customFormat="false" ht="28.35" hidden="false" customHeight="false" outlineLevel="0" collapsed="false">
      <c r="A8" s="6" t="s">
        <v>25</v>
      </c>
      <c r="B8" s="10" t="s">
        <v>74</v>
      </c>
      <c r="C8" s="11" t="s">
        <v>75</v>
      </c>
      <c r="D8" s="11" t="s">
        <v>75</v>
      </c>
      <c r="E8" s="11" t="s">
        <v>75</v>
      </c>
      <c r="F8" s="12" t="s">
        <v>76</v>
      </c>
    </row>
    <row r="9" customFormat="false" ht="15" hidden="false" customHeight="false" outlineLevel="0" collapsed="false">
      <c r="A9" s="6" t="s">
        <v>26</v>
      </c>
      <c r="B9" s="10" t="s">
        <v>74</v>
      </c>
      <c r="C9" s="10" t="s">
        <v>74</v>
      </c>
      <c r="D9" s="10" t="s">
        <v>74</v>
      </c>
      <c r="E9" s="10" t="s">
        <v>74</v>
      </c>
      <c r="F9" s="7" t="s">
        <v>71</v>
      </c>
    </row>
    <row r="11" customFormat="false" ht="15" hidden="false" customHeight="false" outlineLevel="0" collapsed="false">
      <c r="A11" s="2" t="s">
        <v>77</v>
      </c>
      <c r="B11" s="2"/>
      <c r="C11" s="2"/>
      <c r="D11" s="2"/>
      <c r="E11" s="2"/>
      <c r="F11" s="2"/>
    </row>
  </sheetData>
  <mergeCells count="3">
    <mergeCell ref="A1:F1"/>
    <mergeCell ref="A2:F2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1" min="2" style="0" width="16"/>
  </cols>
  <sheetData>
    <row r="1" customFormat="false" ht="16.15" hidden="false" customHeight="false" outlineLevel="0" collapsed="false">
      <c r="A1" s="1" t="s">
        <v>78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41.75" hidden="false" customHeight="false" outlineLevel="0" collapsed="false">
      <c r="A4" s="3" t="s">
        <v>2</v>
      </c>
      <c r="B4" s="3" t="s">
        <v>80</v>
      </c>
      <c r="C4" s="3" t="s">
        <v>81</v>
      </c>
      <c r="D4" s="3" t="s">
        <v>82</v>
      </c>
      <c r="E4" s="3" t="s">
        <v>83</v>
      </c>
      <c r="F4" s="3" t="s">
        <v>84</v>
      </c>
      <c r="G4" s="3" t="s">
        <v>85</v>
      </c>
      <c r="H4" s="3" t="s">
        <v>86</v>
      </c>
      <c r="I4" s="3" t="s">
        <v>87</v>
      </c>
      <c r="J4" s="3" t="s">
        <v>88</v>
      </c>
      <c r="K4" s="3" t="s">
        <v>89</v>
      </c>
    </row>
    <row r="5" customFormat="false" ht="15" hidden="false" customHeight="false" outlineLevel="0" collapsed="false">
      <c r="A5" s="4" t="str">
        <f aca="false">'Raw Responses'!A5</f>
        <v>2026/09/23 6:20:17 AM GMT+5</v>
      </c>
      <c r="B5" s="13" t="str">
        <f aca="false">IF(OR('Raw Responses'!B5="",'Raw Responses'!C5=""),"Incomplete",IFERROR(INDEX('Kano Matrix'!$B$5:$F$9,MATCH('Raw Responses'!B5,'Kano Matrix'!$A$5:$A$9,0),MATCH('Raw Responses'!C5,'Kano Matrix'!$B$4:$F$4,0)),"Incomplete"))</f>
        <v>A</v>
      </c>
      <c r="C5" s="13" t="str">
        <f aca="false">IF(OR('Raw Responses'!D5="",'Raw Responses'!E5=""),"Incomplete",IFERROR(INDEX('Kano Matrix'!$B$5:$F$9,MATCH('Raw Responses'!D5,'Kano Matrix'!$A$5:$A$9,0),MATCH('Raw Responses'!E5,'Kano Matrix'!$B$4:$F$4,0)),"Incomplete"))</f>
        <v>O</v>
      </c>
      <c r="D5" s="13" t="str">
        <f aca="false">IF(OR('Raw Responses'!F5="",'Raw Responses'!G5=""),"Incomplete",IFERROR(INDEX('Kano Matrix'!$B$5:$F$9,MATCH('Raw Responses'!F5,'Kano Matrix'!$A$5:$A$9,0),MATCH('Raw Responses'!G5,'Kano Matrix'!$B$4:$F$4,0)),"Incomplete"))</f>
        <v>M</v>
      </c>
      <c r="E5" s="13" t="str">
        <f aca="false">IF(OR('Raw Responses'!H5="",'Raw Responses'!I5=""),"Incomplete",IFERROR(INDEX('Kano Matrix'!$B$5:$F$9,MATCH('Raw Responses'!H5,'Kano Matrix'!$A$5:$A$9,0),MATCH('Raw Responses'!I5,'Kano Matrix'!$B$4:$F$4,0)),"Incomplete"))</f>
        <v>I</v>
      </c>
      <c r="F5" s="13" t="str">
        <f aca="false">IF(OR('Raw Responses'!J5="",'Raw Responses'!K5=""),"Incomplete",IFERROR(INDEX('Kano Matrix'!$B$5:$F$9,MATCH('Raw Responses'!J5,'Kano Matrix'!$A$5:$A$9,0),MATCH('Raw Responses'!K5,'Kano Matrix'!$B$4:$F$4,0)),"Incomplete"))</f>
        <v>A</v>
      </c>
      <c r="G5" s="13" t="str">
        <f aca="false">IF(OR('Raw Responses'!L5="",'Raw Responses'!M5=""),"Incomplete",IFERROR(INDEX('Kano Matrix'!$B$5:$F$9,MATCH('Raw Responses'!L5,'Kano Matrix'!$A$5:$A$9,0),MATCH('Raw Responses'!M5,'Kano Matrix'!$B$4:$F$4,0)),"Incomplete"))</f>
        <v>I</v>
      </c>
      <c r="H5" s="13" t="str">
        <f aca="false">IF(OR('Raw Responses'!N5="",'Raw Responses'!O5=""),"Incomplete",IFERROR(INDEX('Kano Matrix'!$B$5:$F$9,MATCH('Raw Responses'!N5,'Kano Matrix'!$A$5:$A$9,0),MATCH('Raw Responses'!O5,'Kano Matrix'!$B$4:$F$4,0)),"Incomplete"))</f>
        <v>O</v>
      </c>
      <c r="I5" s="13" t="str">
        <f aca="false">IF(OR('Raw Responses'!P5="",'Raw Responses'!Q5=""),"Incomplete",IFERROR(INDEX('Kano Matrix'!$B$5:$F$9,MATCH('Raw Responses'!P5,'Kano Matrix'!$A$5:$A$9,0),MATCH('Raw Responses'!Q5,'Kano Matrix'!$B$4:$F$4,0)),"Incomplete"))</f>
        <v>O</v>
      </c>
      <c r="J5" s="13" t="str">
        <f aca="false">IF(OR('Raw Responses'!R5="",'Raw Responses'!S5=""),"Incomplete",IFERROR(INDEX('Kano Matrix'!$B$5:$F$9,MATCH('Raw Responses'!R5,'Kano Matrix'!$A$5:$A$9,0),MATCH('Raw Responses'!S5,'Kano Matrix'!$B$4:$F$4,0)),"Incomplete"))</f>
        <v>Q</v>
      </c>
      <c r="K5" s="13" t="str">
        <f aca="false">IF(OR('Raw Responses'!T5="",'Raw Responses'!U5=""),"Incomplete",IFERROR(INDEX('Kano Matrix'!$B$5:$F$9,MATCH('Raw Responses'!T5,'Kano Matrix'!$A$5:$A$9,0),MATCH('Raw Responses'!U5,'Kano Matrix'!$B$4:$F$4,0)),"Incomplete"))</f>
        <v>O</v>
      </c>
    </row>
    <row r="6" customFormat="false" ht="15" hidden="false" customHeight="false" outlineLevel="0" collapsed="false">
      <c r="A6" s="4" t="str">
        <f aca="false">'Raw Responses'!A6</f>
        <v>2026/09/23 6:20:52 AM GMT+5</v>
      </c>
      <c r="B6" s="13" t="str">
        <f aca="false">IF(OR('Raw Responses'!B6="",'Raw Responses'!C6=""),"Incomplete",IFERROR(INDEX('Kano Matrix'!$B$5:$F$9,MATCH('Raw Responses'!B6,'Kano Matrix'!$A$5:$A$9,0),MATCH('Raw Responses'!C6,'Kano Matrix'!$B$4:$F$4,0)),"Incomplete"))</f>
        <v>I</v>
      </c>
      <c r="C6" s="13" t="str">
        <f aca="false">IF(OR('Raw Responses'!D6="",'Raw Responses'!E6=""),"Incomplete",IFERROR(INDEX('Kano Matrix'!$B$5:$F$9,MATCH('Raw Responses'!D6,'Kano Matrix'!$A$5:$A$9,0),MATCH('Raw Responses'!E6,'Kano Matrix'!$B$4:$F$4,0)),"Incomplete"))</f>
        <v>M</v>
      </c>
      <c r="D6" s="13" t="str">
        <f aca="false">IF(OR('Raw Responses'!F6="",'Raw Responses'!G6=""),"Incomplete",IFERROR(INDEX('Kano Matrix'!$B$5:$F$9,MATCH('Raw Responses'!F6,'Kano Matrix'!$A$5:$A$9,0),MATCH('Raw Responses'!G6,'Kano Matrix'!$B$4:$F$4,0)),"Incomplete"))</f>
        <v>I</v>
      </c>
      <c r="E6" s="13" t="str">
        <f aca="false">IF(OR('Raw Responses'!H6="",'Raw Responses'!I6=""),"Incomplete",IFERROR(INDEX('Kano Matrix'!$B$5:$F$9,MATCH('Raw Responses'!H6,'Kano Matrix'!$A$5:$A$9,0),MATCH('Raw Responses'!I6,'Kano Matrix'!$B$4:$F$4,0)),"Incomplete"))</f>
        <v>A</v>
      </c>
      <c r="F6" s="13" t="str">
        <f aca="false">IF(OR('Raw Responses'!J6="",'Raw Responses'!K6=""),"Incomplete",IFERROR(INDEX('Kano Matrix'!$B$5:$F$9,MATCH('Raw Responses'!J6,'Kano Matrix'!$A$5:$A$9,0),MATCH('Raw Responses'!K6,'Kano Matrix'!$B$4:$F$4,0)),"Incomplete"))</f>
        <v>R</v>
      </c>
      <c r="G6" s="13" t="str">
        <f aca="false">IF(OR('Raw Responses'!L6="",'Raw Responses'!M6=""),"Incomplete",IFERROR(INDEX('Kano Matrix'!$B$5:$F$9,MATCH('Raw Responses'!L6,'Kano Matrix'!$A$5:$A$9,0),MATCH('Raw Responses'!M6,'Kano Matrix'!$B$4:$F$4,0)),"Incomplete"))</f>
        <v>R</v>
      </c>
      <c r="H6" s="13" t="str">
        <f aca="false">IF(OR('Raw Responses'!N6="",'Raw Responses'!O6=""),"Incomplete",IFERROR(INDEX('Kano Matrix'!$B$5:$F$9,MATCH('Raw Responses'!N6,'Kano Matrix'!$A$5:$A$9,0),MATCH('Raw Responses'!O6,'Kano Matrix'!$B$4:$F$4,0)),"Incomplete"))</f>
        <v>R</v>
      </c>
      <c r="I6" s="13" t="str">
        <f aca="false">IF(OR('Raw Responses'!P6="",'Raw Responses'!Q6=""),"Incomplete",IFERROR(INDEX('Kano Matrix'!$B$5:$F$9,MATCH('Raw Responses'!P6,'Kano Matrix'!$A$5:$A$9,0),MATCH('Raw Responses'!Q6,'Kano Matrix'!$B$4:$F$4,0)),"Incomplete"))</f>
        <v>I</v>
      </c>
      <c r="J6" s="13" t="str">
        <f aca="false">IF(OR('Raw Responses'!R6="",'Raw Responses'!S6=""),"Incomplete",IFERROR(INDEX('Kano Matrix'!$B$5:$F$9,MATCH('Raw Responses'!R6,'Kano Matrix'!$A$5:$A$9,0),MATCH('Raw Responses'!S6,'Kano Matrix'!$B$4:$F$4,0)),"Incomplete"))</f>
        <v>I</v>
      </c>
      <c r="K6" s="13" t="str">
        <f aca="false">IF(OR('Raw Responses'!T6="",'Raw Responses'!U6=""),"Incomplete",IFERROR(INDEX('Kano Matrix'!$B$5:$F$9,MATCH('Raw Responses'!T6,'Kano Matrix'!$A$5:$A$9,0),MATCH('Raw Responses'!U6,'Kano Matrix'!$B$4:$F$4,0)),"Incomplete"))</f>
        <v>I</v>
      </c>
    </row>
    <row r="7" customFormat="false" ht="15" hidden="false" customHeight="false" outlineLevel="0" collapsed="false">
      <c r="A7" s="4" t="str">
        <f aca="false">'Raw Responses'!A7</f>
        <v>2026/09/23 9:51:29 AM GMT+5</v>
      </c>
      <c r="B7" s="13" t="str">
        <f aca="false">IF(OR('Raw Responses'!B7="",'Raw Responses'!C7=""),"Incomplete",IFERROR(INDEX('Kano Matrix'!$B$5:$F$9,MATCH('Raw Responses'!B7,'Kano Matrix'!$A$5:$A$9,0),MATCH('Raw Responses'!C7,'Kano Matrix'!$B$4:$F$4,0)),"Incomplete"))</f>
        <v>I</v>
      </c>
      <c r="C7" s="13" t="str">
        <f aca="false">IF(OR('Raw Responses'!D7="",'Raw Responses'!E7=""),"Incomplete",IFERROR(INDEX('Kano Matrix'!$B$5:$F$9,MATCH('Raw Responses'!D7,'Kano Matrix'!$A$5:$A$9,0),MATCH('Raw Responses'!E7,'Kano Matrix'!$B$4:$F$4,0)),"Incomplete"))</f>
        <v>I</v>
      </c>
      <c r="D7" s="13" t="str">
        <f aca="false">IF(OR('Raw Responses'!F7="",'Raw Responses'!G7=""),"Incomplete",IFERROR(INDEX('Kano Matrix'!$B$5:$F$9,MATCH('Raw Responses'!F7,'Kano Matrix'!$A$5:$A$9,0),MATCH('Raw Responses'!G7,'Kano Matrix'!$B$4:$F$4,0)),"Incomplete"))</f>
        <v>I</v>
      </c>
      <c r="E7" s="13" t="str">
        <f aca="false">IF(OR('Raw Responses'!H7="",'Raw Responses'!I7=""),"Incomplete",IFERROR(INDEX('Kano Matrix'!$B$5:$F$9,MATCH('Raw Responses'!H7,'Kano Matrix'!$A$5:$A$9,0),MATCH('Raw Responses'!I7,'Kano Matrix'!$B$4:$F$4,0)),"Incomplete"))</f>
        <v>I</v>
      </c>
      <c r="F7" s="13" t="str">
        <f aca="false">IF(OR('Raw Responses'!J7="",'Raw Responses'!K7=""),"Incomplete",IFERROR(INDEX('Kano Matrix'!$B$5:$F$9,MATCH('Raw Responses'!J7,'Kano Matrix'!$A$5:$A$9,0),MATCH('Raw Responses'!K7,'Kano Matrix'!$B$4:$F$4,0)),"Incomplete"))</f>
        <v>I</v>
      </c>
      <c r="G7" s="13" t="str">
        <f aca="false">IF(OR('Raw Responses'!L7="",'Raw Responses'!M7=""),"Incomplete",IFERROR(INDEX('Kano Matrix'!$B$5:$F$9,MATCH('Raw Responses'!L7,'Kano Matrix'!$A$5:$A$9,0),MATCH('Raw Responses'!M7,'Kano Matrix'!$B$4:$F$4,0)),"Incomplete"))</f>
        <v>I</v>
      </c>
      <c r="H7" s="13" t="str">
        <f aca="false">IF(OR('Raw Responses'!N7="",'Raw Responses'!O7=""),"Incomplete",IFERROR(INDEX('Kano Matrix'!$B$5:$F$9,MATCH('Raw Responses'!N7,'Kano Matrix'!$A$5:$A$9,0),MATCH('Raw Responses'!O7,'Kano Matrix'!$B$4:$F$4,0)),"Incomplete"))</f>
        <v>I</v>
      </c>
      <c r="I7" s="13" t="str">
        <f aca="false">IF(OR('Raw Responses'!P7="",'Raw Responses'!Q7=""),"Incomplete",IFERROR(INDEX('Kano Matrix'!$B$5:$F$9,MATCH('Raw Responses'!P7,'Kano Matrix'!$A$5:$A$9,0),MATCH('Raw Responses'!Q7,'Kano Matrix'!$B$4:$F$4,0)),"Incomplete"))</f>
        <v>I</v>
      </c>
      <c r="J7" s="13" t="str">
        <f aca="false">IF(OR('Raw Responses'!R7="",'Raw Responses'!S7=""),"Incomplete",IFERROR(INDEX('Kano Matrix'!$B$5:$F$9,MATCH('Raw Responses'!R7,'Kano Matrix'!$A$5:$A$9,0),MATCH('Raw Responses'!S7,'Kano Matrix'!$B$4:$F$4,0)),"Incomplete"))</f>
        <v>I</v>
      </c>
      <c r="K7" s="13" t="str">
        <f aca="false">IF(OR('Raw Responses'!T7="",'Raw Responses'!U7=""),"Incomplete",IFERROR(INDEX('Kano Matrix'!$B$5:$F$9,MATCH('Raw Responses'!T7,'Kano Matrix'!$A$5:$A$9,0),MATCH('Raw Responses'!U7,'Kano Matrix'!$B$4:$F$4,0)),"Incomplete"))</f>
        <v>I</v>
      </c>
    </row>
    <row r="8" customFormat="false" ht="15" hidden="false" customHeight="false" outlineLevel="0" collapsed="false">
      <c r="A8" s="4" t="str">
        <f aca="false">'Raw Responses'!A8</f>
        <v>2026/09/23 12:18:56 PM GMT+5</v>
      </c>
      <c r="B8" s="13" t="str">
        <f aca="false">IF(OR('Raw Responses'!B8="",'Raw Responses'!C8=""),"Incomplete",IFERROR(INDEX('Kano Matrix'!$B$5:$F$9,MATCH('Raw Responses'!B8,'Kano Matrix'!$A$5:$A$9,0),MATCH('Raw Responses'!C8,'Kano Matrix'!$B$4:$F$4,0)),"Incomplete"))</f>
        <v>A</v>
      </c>
      <c r="C8" s="13" t="str">
        <f aca="false">IF(OR('Raw Responses'!D8="",'Raw Responses'!E8=""),"Incomplete",IFERROR(INDEX('Kano Matrix'!$B$5:$F$9,MATCH('Raw Responses'!D8,'Kano Matrix'!$A$5:$A$9,0),MATCH('Raw Responses'!E8,'Kano Matrix'!$B$4:$F$4,0)),"Incomplete"))</f>
        <v>A</v>
      </c>
      <c r="D8" s="13" t="str">
        <f aca="false">IF(OR('Raw Responses'!F8="",'Raw Responses'!G8=""),"Incomplete",IFERROR(INDEX('Kano Matrix'!$B$5:$F$9,MATCH('Raw Responses'!F8,'Kano Matrix'!$A$5:$A$9,0),MATCH('Raw Responses'!G8,'Kano Matrix'!$B$4:$F$4,0)),"Incomplete"))</f>
        <v>A</v>
      </c>
      <c r="E8" s="13" t="str">
        <f aca="false">IF(OR('Raw Responses'!H8="",'Raw Responses'!I8=""),"Incomplete",IFERROR(INDEX('Kano Matrix'!$B$5:$F$9,MATCH('Raw Responses'!H8,'Kano Matrix'!$A$5:$A$9,0),MATCH('Raw Responses'!I8,'Kano Matrix'!$B$4:$F$4,0)),"Incomplete"))</f>
        <v>A</v>
      </c>
      <c r="F8" s="13" t="str">
        <f aca="false">IF(OR('Raw Responses'!J8="",'Raw Responses'!K8=""),"Incomplete",IFERROR(INDEX('Kano Matrix'!$B$5:$F$9,MATCH('Raw Responses'!J8,'Kano Matrix'!$A$5:$A$9,0),MATCH('Raw Responses'!K8,'Kano Matrix'!$B$4:$F$4,0)),"Incomplete"))</f>
        <v>I</v>
      </c>
      <c r="G8" s="13" t="str">
        <f aca="false">IF(OR('Raw Responses'!L8="",'Raw Responses'!M8=""),"Incomplete",IFERROR(INDEX('Kano Matrix'!$B$5:$F$9,MATCH('Raw Responses'!L8,'Kano Matrix'!$A$5:$A$9,0),MATCH('Raw Responses'!M8,'Kano Matrix'!$B$4:$F$4,0)),"Incomplete"))</f>
        <v>I</v>
      </c>
      <c r="H8" s="13" t="str">
        <f aca="false">IF(OR('Raw Responses'!N8="",'Raw Responses'!O8=""),"Incomplete",IFERROR(INDEX('Kano Matrix'!$B$5:$F$9,MATCH('Raw Responses'!N8,'Kano Matrix'!$A$5:$A$9,0),MATCH('Raw Responses'!O8,'Kano Matrix'!$B$4:$F$4,0)),"Incomplete"))</f>
        <v>I</v>
      </c>
      <c r="I8" s="13" t="str">
        <f aca="false">IF(OR('Raw Responses'!P8="",'Raw Responses'!Q8=""),"Incomplete",IFERROR(INDEX('Kano Matrix'!$B$5:$F$9,MATCH('Raw Responses'!P8,'Kano Matrix'!$A$5:$A$9,0),MATCH('Raw Responses'!Q8,'Kano Matrix'!$B$4:$F$4,0)),"Incomplete"))</f>
        <v>A</v>
      </c>
      <c r="J8" s="13" t="str">
        <f aca="false">IF(OR('Raw Responses'!R8="",'Raw Responses'!S8=""),"Incomplete",IFERROR(INDEX('Kano Matrix'!$B$5:$F$9,MATCH('Raw Responses'!R8,'Kano Matrix'!$A$5:$A$9,0),MATCH('Raw Responses'!S8,'Kano Matrix'!$B$4:$F$4,0)),"Incomplete"))</f>
        <v>O</v>
      </c>
      <c r="K8" s="13" t="str">
        <f aca="false">IF(OR('Raw Responses'!T8="",'Raw Responses'!U8=""),"Incomplete",IFERROR(INDEX('Kano Matrix'!$B$5:$F$9,MATCH('Raw Responses'!T8,'Kano Matrix'!$A$5:$A$9,0),MATCH('Raw Responses'!U8,'Kano Matrix'!$B$4:$F$4,0)),"Incomplete"))</f>
        <v>A</v>
      </c>
    </row>
    <row r="9" customFormat="false" ht="15" hidden="false" customHeight="false" outlineLevel="0" collapsed="false">
      <c r="A9" s="4" t="str">
        <f aca="false">'Raw Responses'!A9</f>
        <v>2026/09/23 12:20:08 PM GMT+5</v>
      </c>
      <c r="B9" s="13" t="str">
        <f aca="false">IF(OR('Raw Responses'!B9="",'Raw Responses'!C9=""),"Incomplete",IFERROR(INDEX('Kano Matrix'!$B$5:$F$9,MATCH('Raw Responses'!B9,'Kano Matrix'!$A$5:$A$9,0),MATCH('Raw Responses'!C9,'Kano Matrix'!$B$4:$F$4,0)),"Incomplete"))</f>
        <v>I</v>
      </c>
      <c r="C9" s="13" t="str">
        <f aca="false">IF(OR('Raw Responses'!D9="",'Raw Responses'!E9=""),"Incomplete",IFERROR(INDEX('Kano Matrix'!$B$5:$F$9,MATCH('Raw Responses'!D9,'Kano Matrix'!$A$5:$A$9,0),MATCH('Raw Responses'!E9,'Kano Matrix'!$B$4:$F$4,0)),"Incomplete"))</f>
        <v>I</v>
      </c>
      <c r="D9" s="13" t="str">
        <f aca="false">IF(OR('Raw Responses'!F9="",'Raw Responses'!G9=""),"Incomplete",IFERROR(INDEX('Kano Matrix'!$B$5:$F$9,MATCH('Raw Responses'!F9,'Kano Matrix'!$A$5:$A$9,0),MATCH('Raw Responses'!G9,'Kano Matrix'!$B$4:$F$4,0)),"Incomplete"))</f>
        <v>M</v>
      </c>
      <c r="E9" s="13" t="str">
        <f aca="false">IF(OR('Raw Responses'!H9="",'Raw Responses'!I9=""),"Incomplete",IFERROR(INDEX('Kano Matrix'!$B$5:$F$9,MATCH('Raw Responses'!H9,'Kano Matrix'!$A$5:$A$9,0),MATCH('Raw Responses'!I9,'Kano Matrix'!$B$4:$F$4,0)),"Incomplete"))</f>
        <v>M</v>
      </c>
      <c r="F9" s="13" t="str">
        <f aca="false">IF(OR('Raw Responses'!J9="",'Raw Responses'!K9=""),"Incomplete",IFERROR(INDEX('Kano Matrix'!$B$5:$F$9,MATCH('Raw Responses'!J9,'Kano Matrix'!$A$5:$A$9,0),MATCH('Raw Responses'!K9,'Kano Matrix'!$B$4:$F$4,0)),"Incomplete"))</f>
        <v>I</v>
      </c>
      <c r="G9" s="13" t="str">
        <f aca="false">IF(OR('Raw Responses'!L9="",'Raw Responses'!M9=""),"Incomplete",IFERROR(INDEX('Kano Matrix'!$B$5:$F$9,MATCH('Raw Responses'!L9,'Kano Matrix'!$A$5:$A$9,0),MATCH('Raw Responses'!M9,'Kano Matrix'!$B$4:$F$4,0)),"Incomplete"))</f>
        <v>I</v>
      </c>
      <c r="H9" s="13" t="str">
        <f aca="false">IF(OR('Raw Responses'!N9="",'Raw Responses'!O9=""),"Incomplete",IFERROR(INDEX('Kano Matrix'!$B$5:$F$9,MATCH('Raw Responses'!N9,'Kano Matrix'!$A$5:$A$9,0),MATCH('Raw Responses'!O9,'Kano Matrix'!$B$4:$F$4,0)),"Incomplete"))</f>
        <v>O</v>
      </c>
      <c r="I9" s="13" t="str">
        <f aca="false">IF(OR('Raw Responses'!P9="",'Raw Responses'!Q9=""),"Incomplete",IFERROR(INDEX('Kano Matrix'!$B$5:$F$9,MATCH('Raw Responses'!P9,'Kano Matrix'!$A$5:$A$9,0),MATCH('Raw Responses'!Q9,'Kano Matrix'!$B$4:$F$4,0)),"Incomplete"))</f>
        <v>I</v>
      </c>
      <c r="J9" s="13" t="str">
        <f aca="false">IF(OR('Raw Responses'!R9="",'Raw Responses'!S9=""),"Incomplete",IFERROR(INDEX('Kano Matrix'!$B$5:$F$9,MATCH('Raw Responses'!R9,'Kano Matrix'!$A$5:$A$9,0),MATCH('Raw Responses'!S9,'Kano Matrix'!$B$4:$F$4,0)),"Incomplete"))</f>
        <v>R</v>
      </c>
      <c r="K9" s="13" t="str">
        <f aca="false">IF(OR('Raw Responses'!T9="",'Raw Responses'!U9=""),"Incomplete",IFERROR(INDEX('Kano Matrix'!$B$5:$F$9,MATCH('Raw Responses'!T9,'Kano Matrix'!$A$5:$A$9,0),MATCH('Raw Responses'!U9,'Kano Matrix'!$B$4:$F$4,0)),"Incomplete"))</f>
        <v>M</v>
      </c>
    </row>
    <row r="10" customFormat="false" ht="15" hidden="false" customHeight="false" outlineLevel="0" collapsed="false">
      <c r="A10" s="4" t="str">
        <f aca="false">'Raw Responses'!A10</f>
        <v>2026/09/23 12:26:06 PM GMT+5</v>
      </c>
      <c r="B10" s="13" t="str">
        <f aca="false">IF(OR('Raw Responses'!B10="",'Raw Responses'!C10=""),"Incomplete",IFERROR(INDEX('Kano Matrix'!$B$5:$F$9,MATCH('Raw Responses'!B10,'Kano Matrix'!$A$5:$A$9,0),MATCH('Raw Responses'!C10,'Kano Matrix'!$B$4:$F$4,0)),"Incomplete"))</f>
        <v>A</v>
      </c>
      <c r="C10" s="13" t="str">
        <f aca="false">IF(OR('Raw Responses'!D10="",'Raw Responses'!E10=""),"Incomplete",IFERROR(INDEX('Kano Matrix'!$B$5:$F$9,MATCH('Raw Responses'!D10,'Kano Matrix'!$A$5:$A$9,0),MATCH('Raw Responses'!E10,'Kano Matrix'!$B$4:$F$4,0)),"Incomplete"))</f>
        <v>O</v>
      </c>
      <c r="D10" s="13" t="str">
        <f aca="false">IF(OR('Raw Responses'!F10="",'Raw Responses'!G10=""),"Incomplete",IFERROR(INDEX('Kano Matrix'!$B$5:$F$9,MATCH('Raw Responses'!F10,'Kano Matrix'!$A$5:$A$9,0),MATCH('Raw Responses'!G10,'Kano Matrix'!$B$4:$F$4,0)),"Incomplete"))</f>
        <v>O</v>
      </c>
      <c r="E10" s="13" t="str">
        <f aca="false">IF(OR('Raw Responses'!H10="",'Raw Responses'!I10=""),"Incomplete",IFERROR(INDEX('Kano Matrix'!$B$5:$F$9,MATCH('Raw Responses'!H10,'Kano Matrix'!$A$5:$A$9,0),MATCH('Raw Responses'!I10,'Kano Matrix'!$B$4:$F$4,0)),"Incomplete"))</f>
        <v>O</v>
      </c>
      <c r="F10" s="13" t="str">
        <f aca="false">IF(OR('Raw Responses'!J10="",'Raw Responses'!K10=""),"Incomplete",IFERROR(INDEX('Kano Matrix'!$B$5:$F$9,MATCH('Raw Responses'!J10,'Kano Matrix'!$A$5:$A$9,0),MATCH('Raw Responses'!K10,'Kano Matrix'!$B$4:$F$4,0)),"Incomplete"))</f>
        <v>O</v>
      </c>
      <c r="G10" s="13" t="str">
        <f aca="false">IF(OR('Raw Responses'!L10="",'Raw Responses'!M10=""),"Incomplete",IFERROR(INDEX('Kano Matrix'!$B$5:$F$9,MATCH('Raw Responses'!L10,'Kano Matrix'!$A$5:$A$9,0),MATCH('Raw Responses'!M10,'Kano Matrix'!$B$4:$F$4,0)),"Incomplete"))</f>
        <v>O</v>
      </c>
      <c r="H10" s="13" t="str">
        <f aca="false">IF(OR('Raw Responses'!N10="",'Raw Responses'!O10=""),"Incomplete",IFERROR(INDEX('Kano Matrix'!$B$5:$F$9,MATCH('Raw Responses'!N10,'Kano Matrix'!$A$5:$A$9,0),MATCH('Raw Responses'!O10,'Kano Matrix'!$B$4:$F$4,0)),"Incomplete"))</f>
        <v>O</v>
      </c>
      <c r="I10" s="13" t="str">
        <f aca="false">IF(OR('Raw Responses'!P10="",'Raw Responses'!Q10=""),"Incomplete",IFERROR(INDEX('Kano Matrix'!$B$5:$F$9,MATCH('Raw Responses'!P10,'Kano Matrix'!$A$5:$A$9,0),MATCH('Raw Responses'!Q10,'Kano Matrix'!$B$4:$F$4,0)),"Incomplete"))</f>
        <v>A</v>
      </c>
      <c r="J10" s="13" t="str">
        <f aca="false">IF(OR('Raw Responses'!R10="",'Raw Responses'!S10=""),"Incomplete",IFERROR(INDEX('Kano Matrix'!$B$5:$F$9,MATCH('Raw Responses'!R10,'Kano Matrix'!$A$5:$A$9,0),MATCH('Raw Responses'!S10,'Kano Matrix'!$B$4:$F$4,0)),"Incomplete"))</f>
        <v>I</v>
      </c>
      <c r="K10" s="13" t="str">
        <f aca="false">IF(OR('Raw Responses'!T10="",'Raw Responses'!U10=""),"Incomplete",IFERROR(INDEX('Kano Matrix'!$B$5:$F$9,MATCH('Raw Responses'!T10,'Kano Matrix'!$A$5:$A$9,0),MATCH('Raw Responses'!U10,'Kano Matrix'!$B$4:$F$4,0)),"Incomplete"))</f>
        <v>M</v>
      </c>
    </row>
    <row r="11" customFormat="false" ht="15" hidden="false" customHeight="false" outlineLevel="0" collapsed="false">
      <c r="A11" s="4" t="str">
        <f aca="false">'Raw Responses'!A11</f>
        <v>2026/09/23 12:27:15 PM GMT+5</v>
      </c>
      <c r="B11" s="13" t="str">
        <f aca="false">IF(OR('Raw Responses'!B11="",'Raw Responses'!C11=""),"Incomplete",IFERROR(INDEX('Kano Matrix'!$B$5:$F$9,MATCH('Raw Responses'!B11,'Kano Matrix'!$A$5:$A$9,0),MATCH('Raw Responses'!C11,'Kano Matrix'!$B$4:$F$4,0)),"Incomplete"))</f>
        <v>O</v>
      </c>
      <c r="C11" s="13" t="str">
        <f aca="false">IF(OR('Raw Responses'!D11="",'Raw Responses'!E11=""),"Incomplete",IFERROR(INDEX('Kano Matrix'!$B$5:$F$9,MATCH('Raw Responses'!D11,'Kano Matrix'!$A$5:$A$9,0),MATCH('Raw Responses'!E11,'Kano Matrix'!$B$4:$F$4,0)),"Incomplete"))</f>
        <v>I</v>
      </c>
      <c r="D11" s="13" t="str">
        <f aca="false">IF(OR('Raw Responses'!F11="",'Raw Responses'!G11=""),"Incomplete",IFERROR(INDEX('Kano Matrix'!$B$5:$F$9,MATCH('Raw Responses'!F11,'Kano Matrix'!$A$5:$A$9,0),MATCH('Raw Responses'!G11,'Kano Matrix'!$B$4:$F$4,0)),"Incomplete"))</f>
        <v>I</v>
      </c>
      <c r="E11" s="13" t="str">
        <f aca="false">IF(OR('Raw Responses'!H11="",'Raw Responses'!I11=""),"Incomplete",IFERROR(INDEX('Kano Matrix'!$B$5:$F$9,MATCH('Raw Responses'!H11,'Kano Matrix'!$A$5:$A$9,0),MATCH('Raw Responses'!I11,'Kano Matrix'!$B$4:$F$4,0)),"Incomplete"))</f>
        <v>M</v>
      </c>
      <c r="F11" s="13" t="str">
        <f aca="false">IF(OR('Raw Responses'!J11="",'Raw Responses'!K11=""),"Incomplete",IFERROR(INDEX('Kano Matrix'!$B$5:$F$9,MATCH('Raw Responses'!J11,'Kano Matrix'!$A$5:$A$9,0),MATCH('Raw Responses'!K11,'Kano Matrix'!$B$4:$F$4,0)),"Incomplete"))</f>
        <v>I</v>
      </c>
      <c r="G11" s="13" t="str">
        <f aca="false">IF(OR('Raw Responses'!L11="",'Raw Responses'!M11=""),"Incomplete",IFERROR(INDEX('Kano Matrix'!$B$5:$F$9,MATCH('Raw Responses'!L11,'Kano Matrix'!$A$5:$A$9,0),MATCH('Raw Responses'!M11,'Kano Matrix'!$B$4:$F$4,0)),"Incomplete"))</f>
        <v>I</v>
      </c>
      <c r="H11" s="13" t="str">
        <f aca="false">IF(OR('Raw Responses'!N11="",'Raw Responses'!O11=""),"Incomplete",IFERROR(INDEX('Kano Matrix'!$B$5:$F$9,MATCH('Raw Responses'!N11,'Kano Matrix'!$A$5:$A$9,0),MATCH('Raw Responses'!O11,'Kano Matrix'!$B$4:$F$4,0)),"Incomplete"))</f>
        <v>A</v>
      </c>
      <c r="I11" s="13" t="str">
        <f aca="false">IF(OR('Raw Responses'!P11="",'Raw Responses'!Q11=""),"Incomplete",IFERROR(INDEX('Kano Matrix'!$B$5:$F$9,MATCH('Raw Responses'!P11,'Kano Matrix'!$A$5:$A$9,0),MATCH('Raw Responses'!Q11,'Kano Matrix'!$B$4:$F$4,0)),"Incomplete"))</f>
        <v>M</v>
      </c>
      <c r="J11" s="13" t="str">
        <f aca="false">IF(OR('Raw Responses'!R11="",'Raw Responses'!S11=""),"Incomplete",IFERROR(INDEX('Kano Matrix'!$B$5:$F$9,MATCH('Raw Responses'!R11,'Kano Matrix'!$A$5:$A$9,0),MATCH('Raw Responses'!S11,'Kano Matrix'!$B$4:$F$4,0)),"Incomplete"))</f>
        <v>A</v>
      </c>
      <c r="K11" s="13" t="str">
        <f aca="false">IF(OR('Raw Responses'!T11="",'Raw Responses'!U11=""),"Incomplete",IFERROR(INDEX('Kano Matrix'!$B$5:$F$9,MATCH('Raw Responses'!T11,'Kano Matrix'!$A$5:$A$9,0),MATCH('Raw Responses'!U11,'Kano Matrix'!$B$4:$F$4,0)),"Incomplete"))</f>
        <v>I</v>
      </c>
    </row>
    <row r="12" customFormat="false" ht="15" hidden="false" customHeight="false" outlineLevel="0" collapsed="false">
      <c r="A12" s="4" t="str">
        <f aca="false">'Raw Responses'!A12</f>
        <v>2026/09/23 12:28:47 PM GMT+5</v>
      </c>
      <c r="B12" s="13" t="str">
        <f aca="false">IF(OR('Raw Responses'!B12="",'Raw Responses'!C12=""),"Incomplete",IFERROR(INDEX('Kano Matrix'!$B$5:$F$9,MATCH('Raw Responses'!B12,'Kano Matrix'!$A$5:$A$9,0),MATCH('Raw Responses'!C12,'Kano Matrix'!$B$4:$F$4,0)),"Incomplete"))</f>
        <v>O</v>
      </c>
      <c r="C12" s="13" t="str">
        <f aca="false">IF(OR('Raw Responses'!D12="",'Raw Responses'!E12=""),"Incomplete",IFERROR(INDEX('Kano Matrix'!$B$5:$F$9,MATCH('Raw Responses'!D12,'Kano Matrix'!$A$5:$A$9,0),MATCH('Raw Responses'!E12,'Kano Matrix'!$B$4:$F$4,0)),"Incomplete"))</f>
        <v>O</v>
      </c>
      <c r="D12" s="13" t="str">
        <f aca="false">IF(OR('Raw Responses'!F12="",'Raw Responses'!G12=""),"Incomplete",IFERROR(INDEX('Kano Matrix'!$B$5:$F$9,MATCH('Raw Responses'!F12,'Kano Matrix'!$A$5:$A$9,0),MATCH('Raw Responses'!G12,'Kano Matrix'!$B$4:$F$4,0)),"Incomplete"))</f>
        <v>A</v>
      </c>
      <c r="E12" s="13" t="str">
        <f aca="false">IF(OR('Raw Responses'!H12="",'Raw Responses'!I12=""),"Incomplete",IFERROR(INDEX('Kano Matrix'!$B$5:$F$9,MATCH('Raw Responses'!H12,'Kano Matrix'!$A$5:$A$9,0),MATCH('Raw Responses'!I12,'Kano Matrix'!$B$4:$F$4,0)),"Incomplete"))</f>
        <v>A</v>
      </c>
      <c r="F12" s="13" t="str">
        <f aca="false">IF(OR('Raw Responses'!J12="",'Raw Responses'!K12=""),"Incomplete",IFERROR(INDEX('Kano Matrix'!$B$5:$F$9,MATCH('Raw Responses'!J12,'Kano Matrix'!$A$5:$A$9,0),MATCH('Raw Responses'!K12,'Kano Matrix'!$B$4:$F$4,0)),"Incomplete"))</f>
        <v>A</v>
      </c>
      <c r="G12" s="13" t="str">
        <f aca="false">IF(OR('Raw Responses'!L12="",'Raw Responses'!M12=""),"Incomplete",IFERROR(INDEX('Kano Matrix'!$B$5:$F$9,MATCH('Raw Responses'!L12,'Kano Matrix'!$A$5:$A$9,0),MATCH('Raw Responses'!M12,'Kano Matrix'!$B$4:$F$4,0)),"Incomplete"))</f>
        <v>R</v>
      </c>
      <c r="H12" s="13" t="str">
        <f aca="false">IF(OR('Raw Responses'!N12="",'Raw Responses'!O12=""),"Incomplete",IFERROR(INDEX('Kano Matrix'!$B$5:$F$9,MATCH('Raw Responses'!N12,'Kano Matrix'!$A$5:$A$9,0),MATCH('Raw Responses'!O12,'Kano Matrix'!$B$4:$F$4,0)),"Incomplete"))</f>
        <v>M</v>
      </c>
      <c r="I12" s="13" t="str">
        <f aca="false">IF(OR('Raw Responses'!P12="",'Raw Responses'!Q12=""),"Incomplete",IFERROR(INDEX('Kano Matrix'!$B$5:$F$9,MATCH('Raw Responses'!P12,'Kano Matrix'!$A$5:$A$9,0),MATCH('Raw Responses'!Q12,'Kano Matrix'!$B$4:$F$4,0)),"Incomplete"))</f>
        <v>Incomplete</v>
      </c>
      <c r="J12" s="13" t="str">
        <f aca="false">IF(OR('Raw Responses'!R12="",'Raw Responses'!S12=""),"Incomplete",IFERROR(INDEX('Kano Matrix'!$B$5:$F$9,MATCH('Raw Responses'!R12,'Kano Matrix'!$A$5:$A$9,0),MATCH('Raw Responses'!S12,'Kano Matrix'!$B$4:$F$4,0)),"Incomplete"))</f>
        <v>Q</v>
      </c>
      <c r="K12" s="13" t="str">
        <f aca="false">IF(OR('Raw Responses'!T12="",'Raw Responses'!U12=""),"Incomplete",IFERROR(INDEX('Kano Matrix'!$B$5:$F$9,MATCH('Raw Responses'!T12,'Kano Matrix'!$A$5:$A$9,0),MATCH('Raw Responses'!U12,'Kano Matrix'!$B$4:$F$4,0)),"Incomplete"))</f>
        <v>R</v>
      </c>
    </row>
    <row r="13" customFormat="false" ht="15" hidden="false" customHeight="false" outlineLevel="0" collapsed="false">
      <c r="A13" s="4" t="str">
        <f aca="false">'Raw Responses'!A13</f>
        <v>2026/09/23 12:29:57 PM GMT+5</v>
      </c>
      <c r="B13" s="13" t="str">
        <f aca="false">IF(OR('Raw Responses'!B13="",'Raw Responses'!C13=""),"Incomplete",IFERROR(INDEX('Kano Matrix'!$B$5:$F$9,MATCH('Raw Responses'!B13,'Kano Matrix'!$A$5:$A$9,0),MATCH('Raw Responses'!C13,'Kano Matrix'!$B$4:$F$4,0)),"Incomplete"))</f>
        <v>A</v>
      </c>
      <c r="C13" s="13" t="str">
        <f aca="false">IF(OR('Raw Responses'!D13="",'Raw Responses'!E13=""),"Incomplete",IFERROR(INDEX('Kano Matrix'!$B$5:$F$9,MATCH('Raw Responses'!D13,'Kano Matrix'!$A$5:$A$9,0),MATCH('Raw Responses'!E13,'Kano Matrix'!$B$4:$F$4,0)),"Incomplete"))</f>
        <v>I</v>
      </c>
      <c r="D13" s="13" t="str">
        <f aca="false">IF(OR('Raw Responses'!F13="",'Raw Responses'!G13=""),"Incomplete",IFERROR(INDEX('Kano Matrix'!$B$5:$F$9,MATCH('Raw Responses'!F13,'Kano Matrix'!$A$5:$A$9,0),MATCH('Raw Responses'!G13,'Kano Matrix'!$B$4:$F$4,0)),"Incomplete"))</f>
        <v>R</v>
      </c>
      <c r="E13" s="13" t="str">
        <f aca="false">IF(OR('Raw Responses'!H13="",'Raw Responses'!I13=""),"Incomplete",IFERROR(INDEX('Kano Matrix'!$B$5:$F$9,MATCH('Raw Responses'!H13,'Kano Matrix'!$A$5:$A$9,0),MATCH('Raw Responses'!I13,'Kano Matrix'!$B$4:$F$4,0)),"Incomplete"))</f>
        <v>I</v>
      </c>
      <c r="F13" s="13" t="str">
        <f aca="false">IF(OR('Raw Responses'!J13="",'Raw Responses'!K13=""),"Incomplete",IFERROR(INDEX('Kano Matrix'!$B$5:$F$9,MATCH('Raw Responses'!J13,'Kano Matrix'!$A$5:$A$9,0),MATCH('Raw Responses'!K13,'Kano Matrix'!$B$4:$F$4,0)),"Incomplete"))</f>
        <v>I</v>
      </c>
      <c r="G13" s="13" t="str">
        <f aca="false">IF(OR('Raw Responses'!L13="",'Raw Responses'!M13=""),"Incomplete",IFERROR(INDEX('Kano Matrix'!$B$5:$F$9,MATCH('Raw Responses'!L13,'Kano Matrix'!$A$5:$A$9,0),MATCH('Raw Responses'!M13,'Kano Matrix'!$B$4:$F$4,0)),"Incomplete"))</f>
        <v>I</v>
      </c>
      <c r="H13" s="13" t="str">
        <f aca="false">IF(OR('Raw Responses'!N13="",'Raw Responses'!O13=""),"Incomplete",IFERROR(INDEX('Kano Matrix'!$B$5:$F$9,MATCH('Raw Responses'!N13,'Kano Matrix'!$A$5:$A$9,0),MATCH('Raw Responses'!O13,'Kano Matrix'!$B$4:$F$4,0)),"Incomplete"))</f>
        <v>I</v>
      </c>
      <c r="I13" s="13" t="str">
        <f aca="false">IF(OR('Raw Responses'!P13="",'Raw Responses'!Q13=""),"Incomplete",IFERROR(INDEX('Kano Matrix'!$B$5:$F$9,MATCH('Raw Responses'!P13,'Kano Matrix'!$A$5:$A$9,0),MATCH('Raw Responses'!Q13,'Kano Matrix'!$B$4:$F$4,0)),"Incomplete"))</f>
        <v>I</v>
      </c>
      <c r="J13" s="13" t="str">
        <f aca="false">IF(OR('Raw Responses'!R13="",'Raw Responses'!S13=""),"Incomplete",IFERROR(INDEX('Kano Matrix'!$B$5:$F$9,MATCH('Raw Responses'!R13,'Kano Matrix'!$A$5:$A$9,0),MATCH('Raw Responses'!S13,'Kano Matrix'!$B$4:$F$4,0)),"Incomplete"))</f>
        <v>I</v>
      </c>
      <c r="K13" s="13" t="str">
        <f aca="false">IF(OR('Raw Responses'!T13="",'Raw Responses'!U13=""),"Incomplete",IFERROR(INDEX('Kano Matrix'!$B$5:$F$9,MATCH('Raw Responses'!T13,'Kano Matrix'!$A$5:$A$9,0),MATCH('Raw Responses'!U13,'Kano Matrix'!$B$4:$F$4,0)),"Incomplete"))</f>
        <v>I</v>
      </c>
    </row>
    <row r="14" customFormat="false" ht="15" hidden="false" customHeight="false" outlineLevel="0" collapsed="false">
      <c r="A14" s="4" t="str">
        <f aca="false">'Raw Responses'!A14</f>
        <v>2026/09/23 12:29:59 PM GMT+5</v>
      </c>
      <c r="B14" s="13" t="str">
        <f aca="false">IF(OR('Raw Responses'!B14="",'Raw Responses'!C14=""),"Incomplete",IFERROR(INDEX('Kano Matrix'!$B$5:$F$9,MATCH('Raw Responses'!B14,'Kano Matrix'!$A$5:$A$9,0),MATCH('Raw Responses'!C14,'Kano Matrix'!$B$4:$F$4,0)),"Incomplete"))</f>
        <v>I</v>
      </c>
      <c r="C14" s="13" t="str">
        <f aca="false">IF(OR('Raw Responses'!D14="",'Raw Responses'!E14=""),"Incomplete",IFERROR(INDEX('Kano Matrix'!$B$5:$F$9,MATCH('Raw Responses'!D14,'Kano Matrix'!$A$5:$A$9,0),MATCH('Raw Responses'!E14,'Kano Matrix'!$B$4:$F$4,0)),"Incomplete"))</f>
        <v>Q</v>
      </c>
      <c r="D14" s="13" t="str">
        <f aca="false">IF(OR('Raw Responses'!F14="",'Raw Responses'!G14=""),"Incomplete",IFERROR(INDEX('Kano Matrix'!$B$5:$F$9,MATCH('Raw Responses'!F14,'Kano Matrix'!$A$5:$A$9,0),MATCH('Raw Responses'!G14,'Kano Matrix'!$B$4:$F$4,0)),"Incomplete"))</f>
        <v>I</v>
      </c>
      <c r="E14" s="13" t="str">
        <f aca="false">IF(OR('Raw Responses'!H14="",'Raw Responses'!I14=""),"Incomplete",IFERROR(INDEX('Kano Matrix'!$B$5:$F$9,MATCH('Raw Responses'!H14,'Kano Matrix'!$A$5:$A$9,0),MATCH('Raw Responses'!I14,'Kano Matrix'!$B$4:$F$4,0)),"Incomplete"))</f>
        <v>R</v>
      </c>
      <c r="F14" s="13" t="str">
        <f aca="false">IF(OR('Raw Responses'!J14="",'Raw Responses'!K14=""),"Incomplete",IFERROR(INDEX('Kano Matrix'!$B$5:$F$9,MATCH('Raw Responses'!J14,'Kano Matrix'!$A$5:$A$9,0),MATCH('Raw Responses'!K14,'Kano Matrix'!$B$4:$F$4,0)),"Incomplete"))</f>
        <v>A</v>
      </c>
      <c r="G14" s="13" t="str">
        <f aca="false">IF(OR('Raw Responses'!L14="",'Raw Responses'!M14=""),"Incomplete",IFERROR(INDEX('Kano Matrix'!$B$5:$F$9,MATCH('Raw Responses'!L14,'Kano Matrix'!$A$5:$A$9,0),MATCH('Raw Responses'!M14,'Kano Matrix'!$B$4:$F$4,0)),"Incomplete"))</f>
        <v>R</v>
      </c>
      <c r="H14" s="13" t="str">
        <f aca="false">IF(OR('Raw Responses'!N14="",'Raw Responses'!O14=""),"Incomplete",IFERROR(INDEX('Kano Matrix'!$B$5:$F$9,MATCH('Raw Responses'!N14,'Kano Matrix'!$A$5:$A$9,0),MATCH('Raw Responses'!O14,'Kano Matrix'!$B$4:$F$4,0)),"Incomplete"))</f>
        <v>M</v>
      </c>
      <c r="I14" s="13" t="str">
        <f aca="false">IF(OR('Raw Responses'!P14="",'Raw Responses'!Q14=""),"Incomplete",IFERROR(INDEX('Kano Matrix'!$B$5:$F$9,MATCH('Raw Responses'!P14,'Kano Matrix'!$A$5:$A$9,0),MATCH('Raw Responses'!Q14,'Kano Matrix'!$B$4:$F$4,0)),"Incomplete"))</f>
        <v>R</v>
      </c>
      <c r="J14" s="13" t="str">
        <f aca="false">IF(OR('Raw Responses'!R14="",'Raw Responses'!S14=""),"Incomplete",IFERROR(INDEX('Kano Matrix'!$B$5:$F$9,MATCH('Raw Responses'!R14,'Kano Matrix'!$A$5:$A$9,0),MATCH('Raw Responses'!S14,'Kano Matrix'!$B$4:$F$4,0)),"Incomplete"))</f>
        <v>Q</v>
      </c>
      <c r="K14" s="13" t="str">
        <f aca="false">IF(OR('Raw Responses'!T14="",'Raw Responses'!U14=""),"Incomplete",IFERROR(INDEX('Kano Matrix'!$B$5:$F$9,MATCH('Raw Responses'!T14,'Kano Matrix'!$A$5:$A$9,0),MATCH('Raw Responses'!U14,'Kano Matrix'!$B$4:$F$4,0)),"Incomplete"))</f>
        <v>I</v>
      </c>
    </row>
    <row r="15" customFormat="false" ht="15" hidden="false" customHeight="false" outlineLevel="0" collapsed="false">
      <c r="A15" s="4" t="str">
        <f aca="false">'Raw Responses'!A15</f>
        <v>2026/09/23 12:32:18 PM GMT+5</v>
      </c>
      <c r="B15" s="13" t="str">
        <f aca="false">IF(OR('Raw Responses'!B15="",'Raw Responses'!C15=""),"Incomplete",IFERROR(INDEX('Kano Matrix'!$B$5:$F$9,MATCH('Raw Responses'!B15,'Kano Matrix'!$A$5:$A$9,0),MATCH('Raw Responses'!C15,'Kano Matrix'!$B$4:$F$4,0)),"Incomplete"))</f>
        <v>O</v>
      </c>
      <c r="C15" s="13" t="str">
        <f aca="false">IF(OR('Raw Responses'!D15="",'Raw Responses'!E15=""),"Incomplete",IFERROR(INDEX('Kano Matrix'!$B$5:$F$9,MATCH('Raw Responses'!D15,'Kano Matrix'!$A$5:$A$9,0),MATCH('Raw Responses'!E15,'Kano Matrix'!$B$4:$F$4,0)),"Incomplete"))</f>
        <v>O</v>
      </c>
      <c r="D15" s="13" t="str">
        <f aca="false">IF(OR('Raw Responses'!F15="",'Raw Responses'!G15=""),"Incomplete",IFERROR(INDEX('Kano Matrix'!$B$5:$F$9,MATCH('Raw Responses'!F15,'Kano Matrix'!$A$5:$A$9,0),MATCH('Raw Responses'!G15,'Kano Matrix'!$B$4:$F$4,0)),"Incomplete"))</f>
        <v>O</v>
      </c>
      <c r="E15" s="13" t="str">
        <f aca="false">IF(OR('Raw Responses'!H15="",'Raw Responses'!I15=""),"Incomplete",IFERROR(INDEX('Kano Matrix'!$B$5:$F$9,MATCH('Raw Responses'!H15,'Kano Matrix'!$A$5:$A$9,0),MATCH('Raw Responses'!I15,'Kano Matrix'!$B$4:$F$4,0)),"Incomplete"))</f>
        <v>O</v>
      </c>
      <c r="F15" s="13" t="str">
        <f aca="false">IF(OR('Raw Responses'!J15="",'Raw Responses'!K15=""),"Incomplete",IFERROR(INDEX('Kano Matrix'!$B$5:$F$9,MATCH('Raw Responses'!J15,'Kano Matrix'!$A$5:$A$9,0),MATCH('Raw Responses'!K15,'Kano Matrix'!$B$4:$F$4,0)),"Incomplete"))</f>
        <v>O</v>
      </c>
      <c r="G15" s="13" t="str">
        <f aca="false">IF(OR('Raw Responses'!L15="",'Raw Responses'!M15=""),"Incomplete",IFERROR(INDEX('Kano Matrix'!$B$5:$F$9,MATCH('Raw Responses'!L15,'Kano Matrix'!$A$5:$A$9,0),MATCH('Raw Responses'!M15,'Kano Matrix'!$B$4:$F$4,0)),"Incomplete"))</f>
        <v>A</v>
      </c>
      <c r="H15" s="13" t="str">
        <f aca="false">IF(OR('Raw Responses'!N15="",'Raw Responses'!O15=""),"Incomplete",IFERROR(INDEX('Kano Matrix'!$B$5:$F$9,MATCH('Raw Responses'!N15,'Kano Matrix'!$A$5:$A$9,0),MATCH('Raw Responses'!O15,'Kano Matrix'!$B$4:$F$4,0)),"Incomplete"))</f>
        <v>O</v>
      </c>
      <c r="I15" s="13" t="str">
        <f aca="false">IF(OR('Raw Responses'!P15="",'Raw Responses'!Q15=""),"Incomplete",IFERROR(INDEX('Kano Matrix'!$B$5:$F$9,MATCH('Raw Responses'!P15,'Kano Matrix'!$A$5:$A$9,0),MATCH('Raw Responses'!Q15,'Kano Matrix'!$B$4:$F$4,0)),"Incomplete"))</f>
        <v>O</v>
      </c>
      <c r="J15" s="13" t="str">
        <f aca="false">IF(OR('Raw Responses'!R15="",'Raw Responses'!S15=""),"Incomplete",IFERROR(INDEX('Kano Matrix'!$B$5:$F$9,MATCH('Raw Responses'!R15,'Kano Matrix'!$A$5:$A$9,0),MATCH('Raw Responses'!S15,'Kano Matrix'!$B$4:$F$4,0)),"Incomplete"))</f>
        <v>O</v>
      </c>
      <c r="K15" s="13" t="str">
        <f aca="false">IF(OR('Raw Responses'!T15="",'Raw Responses'!U15=""),"Incomplete",IFERROR(INDEX('Kano Matrix'!$B$5:$F$9,MATCH('Raw Responses'!T15,'Kano Matrix'!$A$5:$A$9,0),MATCH('Raw Responses'!U15,'Kano Matrix'!$B$4:$F$4,0)),"Incomplete"))</f>
        <v>O</v>
      </c>
    </row>
    <row r="16" customFormat="false" ht="15" hidden="false" customHeight="false" outlineLevel="0" collapsed="false">
      <c r="A16" s="4" t="str">
        <f aca="false">'Raw Responses'!A16</f>
        <v>2026/09/23 12:33:43 PM GMT+5</v>
      </c>
      <c r="B16" s="13" t="str">
        <f aca="false">IF(OR('Raw Responses'!B16="",'Raw Responses'!C16=""),"Incomplete",IFERROR(INDEX('Kano Matrix'!$B$5:$F$9,MATCH('Raw Responses'!B16,'Kano Matrix'!$A$5:$A$9,0),MATCH('Raw Responses'!C16,'Kano Matrix'!$B$4:$F$4,0)),"Incomplete"))</f>
        <v>O</v>
      </c>
      <c r="C16" s="13" t="str">
        <f aca="false">IF(OR('Raw Responses'!D16="",'Raw Responses'!E16=""),"Incomplete",IFERROR(INDEX('Kano Matrix'!$B$5:$F$9,MATCH('Raw Responses'!D16,'Kano Matrix'!$A$5:$A$9,0),MATCH('Raw Responses'!E16,'Kano Matrix'!$B$4:$F$4,0)),"Incomplete"))</f>
        <v>A</v>
      </c>
      <c r="D16" s="13" t="str">
        <f aca="false">IF(OR('Raw Responses'!F16="",'Raw Responses'!G16=""),"Incomplete",IFERROR(INDEX('Kano Matrix'!$B$5:$F$9,MATCH('Raw Responses'!F16,'Kano Matrix'!$A$5:$A$9,0),MATCH('Raw Responses'!G16,'Kano Matrix'!$B$4:$F$4,0)),"Incomplete"))</f>
        <v>I</v>
      </c>
      <c r="E16" s="13" t="str">
        <f aca="false">IF(OR('Raw Responses'!H16="",'Raw Responses'!I16=""),"Incomplete",IFERROR(INDEX('Kano Matrix'!$B$5:$F$9,MATCH('Raw Responses'!H16,'Kano Matrix'!$A$5:$A$9,0),MATCH('Raw Responses'!I16,'Kano Matrix'!$B$4:$F$4,0)),"Incomplete"))</f>
        <v>I</v>
      </c>
      <c r="F16" s="13" t="str">
        <f aca="false">IF(OR('Raw Responses'!J16="",'Raw Responses'!K16=""),"Incomplete",IFERROR(INDEX('Kano Matrix'!$B$5:$F$9,MATCH('Raw Responses'!J16,'Kano Matrix'!$A$5:$A$9,0),MATCH('Raw Responses'!K16,'Kano Matrix'!$B$4:$F$4,0)),"Incomplete"))</f>
        <v>M</v>
      </c>
      <c r="G16" s="13" t="str">
        <f aca="false">IF(OR('Raw Responses'!L16="",'Raw Responses'!M16=""),"Incomplete",IFERROR(INDEX('Kano Matrix'!$B$5:$F$9,MATCH('Raw Responses'!L16,'Kano Matrix'!$A$5:$A$9,0),MATCH('Raw Responses'!M16,'Kano Matrix'!$B$4:$F$4,0)),"Incomplete"))</f>
        <v>A</v>
      </c>
      <c r="H16" s="13" t="str">
        <f aca="false">IF(OR('Raw Responses'!N16="",'Raw Responses'!O16=""),"Incomplete",IFERROR(INDEX('Kano Matrix'!$B$5:$F$9,MATCH('Raw Responses'!N16,'Kano Matrix'!$A$5:$A$9,0),MATCH('Raw Responses'!O16,'Kano Matrix'!$B$4:$F$4,0)),"Incomplete"))</f>
        <v>I</v>
      </c>
      <c r="I16" s="13" t="str">
        <f aca="false">IF(OR('Raw Responses'!P16="",'Raw Responses'!Q16=""),"Incomplete",IFERROR(INDEX('Kano Matrix'!$B$5:$F$9,MATCH('Raw Responses'!P16,'Kano Matrix'!$A$5:$A$9,0),MATCH('Raw Responses'!Q16,'Kano Matrix'!$B$4:$F$4,0)),"Incomplete"))</f>
        <v>A</v>
      </c>
      <c r="J16" s="13" t="str">
        <f aca="false">IF(OR('Raw Responses'!R16="",'Raw Responses'!S16=""),"Incomplete",IFERROR(INDEX('Kano Matrix'!$B$5:$F$9,MATCH('Raw Responses'!R16,'Kano Matrix'!$A$5:$A$9,0),MATCH('Raw Responses'!S16,'Kano Matrix'!$B$4:$F$4,0)),"Incomplete"))</f>
        <v>I</v>
      </c>
      <c r="K16" s="13" t="str">
        <f aca="false">IF(OR('Raw Responses'!T16="",'Raw Responses'!U16=""),"Incomplete",IFERROR(INDEX('Kano Matrix'!$B$5:$F$9,MATCH('Raw Responses'!T16,'Kano Matrix'!$A$5:$A$9,0),MATCH('Raw Responses'!U16,'Kano Matrix'!$B$4:$F$4,0)),"Incomplete"))</f>
        <v>A</v>
      </c>
    </row>
    <row r="17" customFormat="false" ht="15" hidden="false" customHeight="false" outlineLevel="0" collapsed="false">
      <c r="A17" s="4" t="str">
        <f aca="false">'Raw Responses'!A17</f>
        <v>2026/09/23 12:34:00 PM GMT+5</v>
      </c>
      <c r="B17" s="13" t="str">
        <f aca="false">IF(OR('Raw Responses'!B17="",'Raw Responses'!C17=""),"Incomplete",IFERROR(INDEX('Kano Matrix'!$B$5:$F$9,MATCH('Raw Responses'!B17,'Kano Matrix'!$A$5:$A$9,0),MATCH('Raw Responses'!C17,'Kano Matrix'!$B$4:$F$4,0)),"Incomplete"))</f>
        <v>Q</v>
      </c>
      <c r="C17" s="13" t="str">
        <f aca="false">IF(OR('Raw Responses'!D17="",'Raw Responses'!E17=""),"Incomplete",IFERROR(INDEX('Kano Matrix'!$B$5:$F$9,MATCH('Raw Responses'!D17,'Kano Matrix'!$A$5:$A$9,0),MATCH('Raw Responses'!E17,'Kano Matrix'!$B$4:$F$4,0)),"Incomplete"))</f>
        <v>A</v>
      </c>
      <c r="D17" s="13" t="str">
        <f aca="false">IF(OR('Raw Responses'!F17="",'Raw Responses'!G17=""),"Incomplete",IFERROR(INDEX('Kano Matrix'!$B$5:$F$9,MATCH('Raw Responses'!F17,'Kano Matrix'!$A$5:$A$9,0),MATCH('Raw Responses'!G17,'Kano Matrix'!$B$4:$F$4,0)),"Incomplete"))</f>
        <v>Q</v>
      </c>
      <c r="E17" s="13" t="str">
        <f aca="false">IF(OR('Raw Responses'!H17="",'Raw Responses'!I17=""),"Incomplete",IFERROR(INDEX('Kano Matrix'!$B$5:$F$9,MATCH('Raw Responses'!H17,'Kano Matrix'!$A$5:$A$9,0),MATCH('Raw Responses'!I17,'Kano Matrix'!$B$4:$F$4,0)),"Incomplete"))</f>
        <v>I</v>
      </c>
      <c r="F17" s="13" t="str">
        <f aca="false">IF(OR('Raw Responses'!J17="",'Raw Responses'!K17=""),"Incomplete",IFERROR(INDEX('Kano Matrix'!$B$5:$F$9,MATCH('Raw Responses'!J17,'Kano Matrix'!$A$5:$A$9,0),MATCH('Raw Responses'!K17,'Kano Matrix'!$B$4:$F$4,0)),"Incomplete"))</f>
        <v>Incomplete</v>
      </c>
      <c r="G17" s="13" t="str">
        <f aca="false">IF(OR('Raw Responses'!L17="",'Raw Responses'!M17=""),"Incomplete",IFERROR(INDEX('Kano Matrix'!$B$5:$F$9,MATCH('Raw Responses'!L17,'Kano Matrix'!$A$5:$A$9,0),MATCH('Raw Responses'!M17,'Kano Matrix'!$B$4:$F$4,0)),"Incomplete"))</f>
        <v>O</v>
      </c>
      <c r="H17" s="13" t="str">
        <f aca="false">IF(OR('Raw Responses'!N17="",'Raw Responses'!O17=""),"Incomplete",IFERROR(INDEX('Kano Matrix'!$B$5:$F$9,MATCH('Raw Responses'!N17,'Kano Matrix'!$A$5:$A$9,0),MATCH('Raw Responses'!O17,'Kano Matrix'!$B$4:$F$4,0)),"Incomplete"))</f>
        <v>Q</v>
      </c>
      <c r="I17" s="13" t="str">
        <f aca="false">IF(OR('Raw Responses'!P17="",'Raw Responses'!Q17=""),"Incomplete",IFERROR(INDEX('Kano Matrix'!$B$5:$F$9,MATCH('Raw Responses'!P17,'Kano Matrix'!$A$5:$A$9,0),MATCH('Raw Responses'!Q17,'Kano Matrix'!$B$4:$F$4,0)),"Incomplete"))</f>
        <v>I</v>
      </c>
      <c r="J17" s="13" t="str">
        <f aca="false">IF(OR('Raw Responses'!R17="",'Raw Responses'!S17=""),"Incomplete",IFERROR(INDEX('Kano Matrix'!$B$5:$F$9,MATCH('Raw Responses'!R17,'Kano Matrix'!$A$5:$A$9,0),MATCH('Raw Responses'!S17,'Kano Matrix'!$B$4:$F$4,0)),"Incomplete"))</f>
        <v>A</v>
      </c>
      <c r="K17" s="13" t="str">
        <f aca="false">IF(OR('Raw Responses'!T17="",'Raw Responses'!U17=""),"Incomplete",IFERROR(INDEX('Kano Matrix'!$B$5:$F$9,MATCH('Raw Responses'!T17,'Kano Matrix'!$A$5:$A$9,0),MATCH('Raw Responses'!U17,'Kano Matrix'!$B$4:$F$4,0)),"Incomplete"))</f>
        <v>A</v>
      </c>
    </row>
    <row r="18" customFormat="false" ht="15" hidden="false" customHeight="false" outlineLevel="0" collapsed="false">
      <c r="A18" s="4" t="str">
        <f aca="false">'Raw Responses'!A18</f>
        <v>2026/09/23 12:35:21 PM GMT+5</v>
      </c>
      <c r="B18" s="13" t="str">
        <f aca="false">IF(OR('Raw Responses'!B18="",'Raw Responses'!C18=""),"Incomplete",IFERROR(INDEX('Kano Matrix'!$B$5:$F$9,MATCH('Raw Responses'!B18,'Kano Matrix'!$A$5:$A$9,0),MATCH('Raw Responses'!C18,'Kano Matrix'!$B$4:$F$4,0)),"Incomplete"))</f>
        <v>O</v>
      </c>
      <c r="C18" s="13" t="str">
        <f aca="false">IF(OR('Raw Responses'!D18="",'Raw Responses'!E18=""),"Incomplete",IFERROR(INDEX('Kano Matrix'!$B$5:$F$9,MATCH('Raw Responses'!D18,'Kano Matrix'!$A$5:$A$9,0),MATCH('Raw Responses'!E18,'Kano Matrix'!$B$4:$F$4,0)),"Incomplete"))</f>
        <v>M</v>
      </c>
      <c r="D18" s="13" t="str">
        <f aca="false">IF(OR('Raw Responses'!F18="",'Raw Responses'!G18=""),"Incomplete",IFERROR(INDEX('Kano Matrix'!$B$5:$F$9,MATCH('Raw Responses'!F18,'Kano Matrix'!$A$5:$A$9,0),MATCH('Raw Responses'!G18,'Kano Matrix'!$B$4:$F$4,0)),"Incomplete"))</f>
        <v>O</v>
      </c>
      <c r="E18" s="13" t="str">
        <f aca="false">IF(OR('Raw Responses'!H18="",'Raw Responses'!I18=""),"Incomplete",IFERROR(INDEX('Kano Matrix'!$B$5:$F$9,MATCH('Raw Responses'!H18,'Kano Matrix'!$A$5:$A$9,0),MATCH('Raw Responses'!I18,'Kano Matrix'!$B$4:$F$4,0)),"Incomplete"))</f>
        <v>I</v>
      </c>
      <c r="F18" s="13" t="str">
        <f aca="false">IF(OR('Raw Responses'!J18="",'Raw Responses'!K18=""),"Incomplete",IFERROR(INDEX('Kano Matrix'!$B$5:$F$9,MATCH('Raw Responses'!J18,'Kano Matrix'!$A$5:$A$9,0),MATCH('Raw Responses'!K18,'Kano Matrix'!$B$4:$F$4,0)),"Incomplete"))</f>
        <v>Incomplete</v>
      </c>
      <c r="G18" s="13" t="str">
        <f aca="false">IF(OR('Raw Responses'!L18="",'Raw Responses'!M18=""),"Incomplete",IFERROR(INDEX('Kano Matrix'!$B$5:$F$9,MATCH('Raw Responses'!L18,'Kano Matrix'!$A$5:$A$9,0),MATCH('Raw Responses'!M18,'Kano Matrix'!$B$4:$F$4,0)),"Incomplete"))</f>
        <v>O</v>
      </c>
      <c r="H18" s="13" t="str">
        <f aca="false">IF(OR('Raw Responses'!N18="",'Raw Responses'!O18=""),"Incomplete",IFERROR(INDEX('Kano Matrix'!$B$5:$F$9,MATCH('Raw Responses'!N18,'Kano Matrix'!$A$5:$A$9,0),MATCH('Raw Responses'!O18,'Kano Matrix'!$B$4:$F$4,0)),"Incomplete"))</f>
        <v>I</v>
      </c>
      <c r="I18" s="13" t="str">
        <f aca="false">IF(OR('Raw Responses'!P18="",'Raw Responses'!Q18=""),"Incomplete",IFERROR(INDEX('Kano Matrix'!$B$5:$F$9,MATCH('Raw Responses'!P18,'Kano Matrix'!$A$5:$A$9,0),MATCH('Raw Responses'!Q18,'Kano Matrix'!$B$4:$F$4,0)),"Incomplete"))</f>
        <v>I</v>
      </c>
      <c r="J18" s="13" t="str">
        <f aca="false">IF(OR('Raw Responses'!R18="",'Raw Responses'!S18=""),"Incomplete",IFERROR(INDEX('Kano Matrix'!$B$5:$F$9,MATCH('Raw Responses'!R18,'Kano Matrix'!$A$5:$A$9,0),MATCH('Raw Responses'!S18,'Kano Matrix'!$B$4:$F$4,0)),"Incomplete"))</f>
        <v>O</v>
      </c>
      <c r="K18" s="13" t="str">
        <f aca="false">IF(OR('Raw Responses'!T18="",'Raw Responses'!U18=""),"Incomplete",IFERROR(INDEX('Kano Matrix'!$B$5:$F$9,MATCH('Raw Responses'!T18,'Kano Matrix'!$A$5:$A$9,0),MATCH('Raw Responses'!U18,'Kano Matrix'!$B$4:$F$4,0)),"Incomplete"))</f>
        <v>O</v>
      </c>
    </row>
    <row r="19" customFormat="false" ht="15" hidden="false" customHeight="false" outlineLevel="0" collapsed="false">
      <c r="A19" s="4" t="str">
        <f aca="false">'Raw Responses'!A19</f>
        <v>2026/09/23 12:40:13 PM GMT+5</v>
      </c>
      <c r="B19" s="13" t="str">
        <f aca="false">IF(OR('Raw Responses'!B19="",'Raw Responses'!C19=""),"Incomplete",IFERROR(INDEX('Kano Matrix'!$B$5:$F$9,MATCH('Raw Responses'!B19,'Kano Matrix'!$A$5:$A$9,0),MATCH('Raw Responses'!C19,'Kano Matrix'!$B$4:$F$4,0)),"Incomplete"))</f>
        <v>M</v>
      </c>
      <c r="C19" s="13" t="str">
        <f aca="false">IF(OR('Raw Responses'!D19="",'Raw Responses'!E19=""),"Incomplete",IFERROR(INDEX('Kano Matrix'!$B$5:$F$9,MATCH('Raw Responses'!D19,'Kano Matrix'!$A$5:$A$9,0),MATCH('Raw Responses'!E19,'Kano Matrix'!$B$4:$F$4,0)),"Incomplete"))</f>
        <v>I</v>
      </c>
      <c r="D19" s="13" t="str">
        <f aca="false">IF(OR('Raw Responses'!F19="",'Raw Responses'!G19=""),"Incomplete",IFERROR(INDEX('Kano Matrix'!$B$5:$F$9,MATCH('Raw Responses'!F19,'Kano Matrix'!$A$5:$A$9,0),MATCH('Raw Responses'!G19,'Kano Matrix'!$B$4:$F$4,0)),"Incomplete"))</f>
        <v>O</v>
      </c>
      <c r="E19" s="13" t="str">
        <f aca="false">IF(OR('Raw Responses'!H19="",'Raw Responses'!I19=""),"Incomplete",IFERROR(INDEX('Kano Matrix'!$B$5:$F$9,MATCH('Raw Responses'!H19,'Kano Matrix'!$A$5:$A$9,0),MATCH('Raw Responses'!I19,'Kano Matrix'!$B$4:$F$4,0)),"Incomplete"))</f>
        <v>A</v>
      </c>
      <c r="F19" s="13" t="str">
        <f aca="false">IF(OR('Raw Responses'!J19="",'Raw Responses'!K19=""),"Incomplete",IFERROR(INDEX('Kano Matrix'!$B$5:$F$9,MATCH('Raw Responses'!J19,'Kano Matrix'!$A$5:$A$9,0),MATCH('Raw Responses'!K19,'Kano Matrix'!$B$4:$F$4,0)),"Incomplete"))</f>
        <v>I</v>
      </c>
      <c r="G19" s="13" t="str">
        <f aca="false">IF(OR('Raw Responses'!L19="",'Raw Responses'!M19=""),"Incomplete",IFERROR(INDEX('Kano Matrix'!$B$5:$F$9,MATCH('Raw Responses'!L19,'Kano Matrix'!$A$5:$A$9,0),MATCH('Raw Responses'!M19,'Kano Matrix'!$B$4:$F$4,0)),"Incomplete"))</f>
        <v>O</v>
      </c>
      <c r="H19" s="13" t="str">
        <f aca="false">IF(OR('Raw Responses'!N19="",'Raw Responses'!O19=""),"Incomplete",IFERROR(INDEX('Kano Matrix'!$B$5:$F$9,MATCH('Raw Responses'!N19,'Kano Matrix'!$A$5:$A$9,0),MATCH('Raw Responses'!O19,'Kano Matrix'!$B$4:$F$4,0)),"Incomplete"))</f>
        <v>A</v>
      </c>
      <c r="I19" s="13" t="str">
        <f aca="false">IF(OR('Raw Responses'!P19="",'Raw Responses'!Q19=""),"Incomplete",IFERROR(INDEX('Kano Matrix'!$B$5:$F$9,MATCH('Raw Responses'!P19,'Kano Matrix'!$A$5:$A$9,0),MATCH('Raw Responses'!Q19,'Kano Matrix'!$B$4:$F$4,0)),"Incomplete"))</f>
        <v>A</v>
      </c>
      <c r="J19" s="13" t="str">
        <f aca="false">IF(OR('Raw Responses'!R19="",'Raw Responses'!S19=""),"Incomplete",IFERROR(INDEX('Kano Matrix'!$B$5:$F$9,MATCH('Raw Responses'!R19,'Kano Matrix'!$A$5:$A$9,0),MATCH('Raw Responses'!S19,'Kano Matrix'!$B$4:$F$4,0)),"Incomplete"))</f>
        <v>I</v>
      </c>
      <c r="K19" s="13" t="str">
        <f aca="false">IF(OR('Raw Responses'!T19="",'Raw Responses'!U19=""),"Incomplete",IFERROR(INDEX('Kano Matrix'!$B$5:$F$9,MATCH('Raw Responses'!T19,'Kano Matrix'!$A$5:$A$9,0),MATCH('Raw Responses'!U19,'Kano Matrix'!$B$4:$F$4,0)),"Incomplete"))</f>
        <v>I</v>
      </c>
    </row>
    <row r="20" customFormat="false" ht="15" hidden="false" customHeight="false" outlineLevel="0" collapsed="false">
      <c r="A20" s="4" t="str">
        <f aca="false">'Raw Responses'!A20</f>
        <v>2026/09/23 12:40:58 PM GMT+5</v>
      </c>
      <c r="B20" s="13" t="str">
        <f aca="false">IF(OR('Raw Responses'!B20="",'Raw Responses'!C20=""),"Incomplete",IFERROR(INDEX('Kano Matrix'!$B$5:$F$9,MATCH('Raw Responses'!B20,'Kano Matrix'!$A$5:$A$9,0),MATCH('Raw Responses'!C20,'Kano Matrix'!$B$4:$F$4,0)),"Incomplete"))</f>
        <v>Q</v>
      </c>
      <c r="C20" s="13" t="str">
        <f aca="false">IF(OR('Raw Responses'!D20="",'Raw Responses'!E20=""),"Incomplete",IFERROR(INDEX('Kano Matrix'!$B$5:$F$9,MATCH('Raw Responses'!D20,'Kano Matrix'!$A$5:$A$9,0),MATCH('Raw Responses'!E20,'Kano Matrix'!$B$4:$F$4,0)),"Incomplete"))</f>
        <v>Q</v>
      </c>
      <c r="D20" s="13" t="str">
        <f aca="false">IF(OR('Raw Responses'!F20="",'Raw Responses'!G20=""),"Incomplete",IFERROR(INDEX('Kano Matrix'!$B$5:$F$9,MATCH('Raw Responses'!F20,'Kano Matrix'!$A$5:$A$9,0),MATCH('Raw Responses'!G20,'Kano Matrix'!$B$4:$F$4,0)),"Incomplete"))</f>
        <v>Q</v>
      </c>
      <c r="E20" s="13" t="str">
        <f aca="false">IF(OR('Raw Responses'!H20="",'Raw Responses'!I20=""),"Incomplete",IFERROR(INDEX('Kano Matrix'!$B$5:$F$9,MATCH('Raw Responses'!H20,'Kano Matrix'!$A$5:$A$9,0),MATCH('Raw Responses'!I20,'Kano Matrix'!$B$4:$F$4,0)),"Incomplete"))</f>
        <v>Q</v>
      </c>
      <c r="F20" s="13" t="str">
        <f aca="false">IF(OR('Raw Responses'!J20="",'Raw Responses'!K20=""),"Incomplete",IFERROR(INDEX('Kano Matrix'!$B$5:$F$9,MATCH('Raw Responses'!J20,'Kano Matrix'!$A$5:$A$9,0),MATCH('Raw Responses'!K20,'Kano Matrix'!$B$4:$F$4,0)),"Incomplete"))</f>
        <v>Q</v>
      </c>
      <c r="G20" s="13" t="str">
        <f aca="false">IF(OR('Raw Responses'!L20="",'Raw Responses'!M20=""),"Incomplete",IFERROR(INDEX('Kano Matrix'!$B$5:$F$9,MATCH('Raw Responses'!L20,'Kano Matrix'!$A$5:$A$9,0),MATCH('Raw Responses'!M20,'Kano Matrix'!$B$4:$F$4,0)),"Incomplete"))</f>
        <v>Q</v>
      </c>
      <c r="H20" s="13" t="str">
        <f aca="false">IF(OR('Raw Responses'!N20="",'Raw Responses'!O20=""),"Incomplete",IFERROR(INDEX('Kano Matrix'!$B$5:$F$9,MATCH('Raw Responses'!N20,'Kano Matrix'!$A$5:$A$9,0),MATCH('Raw Responses'!O20,'Kano Matrix'!$B$4:$F$4,0)),"Incomplete"))</f>
        <v>Q</v>
      </c>
      <c r="I20" s="13" t="str">
        <f aca="false">IF(OR('Raw Responses'!P20="",'Raw Responses'!Q20=""),"Incomplete",IFERROR(INDEX('Kano Matrix'!$B$5:$F$9,MATCH('Raw Responses'!P20,'Kano Matrix'!$A$5:$A$9,0),MATCH('Raw Responses'!Q20,'Kano Matrix'!$B$4:$F$4,0)),"Incomplete"))</f>
        <v>Q</v>
      </c>
      <c r="J20" s="13" t="str">
        <f aca="false">IF(OR('Raw Responses'!R20="",'Raw Responses'!S20=""),"Incomplete",IFERROR(INDEX('Kano Matrix'!$B$5:$F$9,MATCH('Raw Responses'!R20,'Kano Matrix'!$A$5:$A$9,0),MATCH('Raw Responses'!S20,'Kano Matrix'!$B$4:$F$4,0)),"Incomplete"))</f>
        <v>Q</v>
      </c>
      <c r="K20" s="13" t="str">
        <f aca="false">IF(OR('Raw Responses'!T20="",'Raw Responses'!U20=""),"Incomplete",IFERROR(INDEX('Kano Matrix'!$B$5:$F$9,MATCH('Raw Responses'!T20,'Kano Matrix'!$A$5:$A$9,0),MATCH('Raw Responses'!U20,'Kano Matrix'!$B$4:$F$4,0)),"Incomplete"))</f>
        <v>Q</v>
      </c>
    </row>
    <row r="21" customFormat="false" ht="15" hidden="false" customHeight="false" outlineLevel="0" collapsed="false">
      <c r="A21" s="4" t="str">
        <f aca="false">'Raw Responses'!A21</f>
        <v>2026/09/23 12:41:36 PM GMT+5</v>
      </c>
      <c r="B21" s="13" t="str">
        <f aca="false">IF(OR('Raw Responses'!B21="",'Raw Responses'!C21=""),"Incomplete",IFERROR(INDEX('Kano Matrix'!$B$5:$F$9,MATCH('Raw Responses'!B21,'Kano Matrix'!$A$5:$A$9,0),MATCH('Raw Responses'!C21,'Kano Matrix'!$B$4:$F$4,0)),"Incomplete"))</f>
        <v>Q</v>
      </c>
      <c r="C21" s="13" t="str">
        <f aca="false">IF(OR('Raw Responses'!D21="",'Raw Responses'!E21=""),"Incomplete",IFERROR(INDEX('Kano Matrix'!$B$5:$F$9,MATCH('Raw Responses'!D21,'Kano Matrix'!$A$5:$A$9,0),MATCH('Raw Responses'!E21,'Kano Matrix'!$B$4:$F$4,0)),"Incomplete"))</f>
        <v>Q</v>
      </c>
      <c r="D21" s="13" t="str">
        <f aca="false">IF(OR('Raw Responses'!F21="",'Raw Responses'!G21=""),"Incomplete",IFERROR(INDEX('Kano Matrix'!$B$5:$F$9,MATCH('Raw Responses'!F21,'Kano Matrix'!$A$5:$A$9,0),MATCH('Raw Responses'!G21,'Kano Matrix'!$B$4:$F$4,0)),"Incomplete"))</f>
        <v>Q</v>
      </c>
      <c r="E21" s="13" t="str">
        <f aca="false">IF(OR('Raw Responses'!H21="",'Raw Responses'!I21=""),"Incomplete",IFERROR(INDEX('Kano Matrix'!$B$5:$F$9,MATCH('Raw Responses'!H21,'Kano Matrix'!$A$5:$A$9,0),MATCH('Raw Responses'!I21,'Kano Matrix'!$B$4:$F$4,0)),"Incomplete"))</f>
        <v>Q</v>
      </c>
      <c r="F21" s="13" t="str">
        <f aca="false">IF(OR('Raw Responses'!J21="",'Raw Responses'!K21=""),"Incomplete",IFERROR(INDEX('Kano Matrix'!$B$5:$F$9,MATCH('Raw Responses'!J21,'Kano Matrix'!$A$5:$A$9,0),MATCH('Raw Responses'!K21,'Kano Matrix'!$B$4:$F$4,0)),"Incomplete"))</f>
        <v>Q</v>
      </c>
      <c r="G21" s="13" t="str">
        <f aca="false">IF(OR('Raw Responses'!L21="",'Raw Responses'!M21=""),"Incomplete",IFERROR(INDEX('Kano Matrix'!$B$5:$F$9,MATCH('Raw Responses'!L21,'Kano Matrix'!$A$5:$A$9,0),MATCH('Raw Responses'!M21,'Kano Matrix'!$B$4:$F$4,0)),"Incomplete"))</f>
        <v>Q</v>
      </c>
      <c r="H21" s="13" t="str">
        <f aca="false">IF(OR('Raw Responses'!N21="",'Raw Responses'!O21=""),"Incomplete",IFERROR(INDEX('Kano Matrix'!$B$5:$F$9,MATCH('Raw Responses'!N21,'Kano Matrix'!$A$5:$A$9,0),MATCH('Raw Responses'!O21,'Kano Matrix'!$B$4:$F$4,0)),"Incomplete"))</f>
        <v>Q</v>
      </c>
      <c r="I21" s="13" t="str">
        <f aca="false">IF(OR('Raw Responses'!P21="",'Raw Responses'!Q21=""),"Incomplete",IFERROR(INDEX('Kano Matrix'!$B$5:$F$9,MATCH('Raw Responses'!P21,'Kano Matrix'!$A$5:$A$9,0),MATCH('Raw Responses'!Q21,'Kano Matrix'!$B$4:$F$4,0)),"Incomplete"))</f>
        <v>Q</v>
      </c>
      <c r="J21" s="13" t="str">
        <f aca="false">IF(OR('Raw Responses'!R21="",'Raw Responses'!S21=""),"Incomplete",IFERROR(INDEX('Kano Matrix'!$B$5:$F$9,MATCH('Raw Responses'!R21,'Kano Matrix'!$A$5:$A$9,0),MATCH('Raw Responses'!S21,'Kano Matrix'!$B$4:$F$4,0)),"Incomplete"))</f>
        <v>Q</v>
      </c>
      <c r="K21" s="13" t="str">
        <f aca="false">IF(OR('Raw Responses'!T21="",'Raw Responses'!U21=""),"Incomplete",IFERROR(INDEX('Kano Matrix'!$B$5:$F$9,MATCH('Raw Responses'!T21,'Kano Matrix'!$A$5:$A$9,0),MATCH('Raw Responses'!U21,'Kano Matrix'!$B$4:$F$4,0)),"Incomplete"))</f>
        <v>Q</v>
      </c>
    </row>
    <row r="22" customFormat="false" ht="15" hidden="false" customHeight="false" outlineLevel="0" collapsed="false">
      <c r="A22" s="4" t="str">
        <f aca="false">'Raw Responses'!A22</f>
        <v>2026/09/23 12:45:27 PM GMT+5</v>
      </c>
      <c r="B22" s="13" t="str">
        <f aca="false">IF(OR('Raw Responses'!B22="",'Raw Responses'!C22=""),"Incomplete",IFERROR(INDEX('Kano Matrix'!$B$5:$F$9,MATCH('Raw Responses'!B22,'Kano Matrix'!$A$5:$A$9,0),MATCH('Raw Responses'!C22,'Kano Matrix'!$B$4:$F$4,0)),"Incomplete"))</f>
        <v>O</v>
      </c>
      <c r="C22" s="13" t="str">
        <f aca="false">IF(OR('Raw Responses'!D22="",'Raw Responses'!E22=""),"Incomplete",IFERROR(INDEX('Kano Matrix'!$B$5:$F$9,MATCH('Raw Responses'!D22,'Kano Matrix'!$A$5:$A$9,0),MATCH('Raw Responses'!E22,'Kano Matrix'!$B$4:$F$4,0)),"Incomplete"))</f>
        <v>I</v>
      </c>
      <c r="D22" s="13" t="str">
        <f aca="false">IF(OR('Raw Responses'!F22="",'Raw Responses'!G22=""),"Incomplete",IFERROR(INDEX('Kano Matrix'!$B$5:$F$9,MATCH('Raw Responses'!F22,'Kano Matrix'!$A$5:$A$9,0),MATCH('Raw Responses'!G22,'Kano Matrix'!$B$4:$F$4,0)),"Incomplete"))</f>
        <v>I</v>
      </c>
      <c r="E22" s="13" t="str">
        <f aca="false">IF(OR('Raw Responses'!H22="",'Raw Responses'!I22=""),"Incomplete",IFERROR(INDEX('Kano Matrix'!$B$5:$F$9,MATCH('Raw Responses'!H22,'Kano Matrix'!$A$5:$A$9,0),MATCH('Raw Responses'!I22,'Kano Matrix'!$B$4:$F$4,0)),"Incomplete"))</f>
        <v>I</v>
      </c>
      <c r="F22" s="13" t="str">
        <f aca="false">IF(OR('Raw Responses'!J22="",'Raw Responses'!K22=""),"Incomplete",IFERROR(INDEX('Kano Matrix'!$B$5:$F$9,MATCH('Raw Responses'!J22,'Kano Matrix'!$A$5:$A$9,0),MATCH('Raw Responses'!K22,'Kano Matrix'!$B$4:$F$4,0)),"Incomplete"))</f>
        <v>I</v>
      </c>
      <c r="G22" s="13" t="str">
        <f aca="false">IF(OR('Raw Responses'!L22="",'Raw Responses'!M22=""),"Incomplete",IFERROR(INDEX('Kano Matrix'!$B$5:$F$9,MATCH('Raw Responses'!L22,'Kano Matrix'!$A$5:$A$9,0),MATCH('Raw Responses'!M22,'Kano Matrix'!$B$4:$F$4,0)),"Incomplete"))</f>
        <v>I</v>
      </c>
      <c r="H22" s="13" t="str">
        <f aca="false">IF(OR('Raw Responses'!N22="",'Raw Responses'!O22=""),"Incomplete",IFERROR(INDEX('Kano Matrix'!$B$5:$F$9,MATCH('Raw Responses'!N22,'Kano Matrix'!$A$5:$A$9,0),MATCH('Raw Responses'!O22,'Kano Matrix'!$B$4:$F$4,0)),"Incomplete"))</f>
        <v>A</v>
      </c>
      <c r="I22" s="13" t="str">
        <f aca="false">IF(OR('Raw Responses'!P22="",'Raw Responses'!Q22=""),"Incomplete",IFERROR(INDEX('Kano Matrix'!$B$5:$F$9,MATCH('Raw Responses'!P22,'Kano Matrix'!$A$5:$A$9,0),MATCH('Raw Responses'!Q22,'Kano Matrix'!$B$4:$F$4,0)),"Incomplete"))</f>
        <v>M</v>
      </c>
      <c r="J22" s="13" t="str">
        <f aca="false">IF(OR('Raw Responses'!R22="",'Raw Responses'!S22=""),"Incomplete",IFERROR(INDEX('Kano Matrix'!$B$5:$F$9,MATCH('Raw Responses'!R22,'Kano Matrix'!$A$5:$A$9,0),MATCH('Raw Responses'!S22,'Kano Matrix'!$B$4:$F$4,0)),"Incomplete"))</f>
        <v>I</v>
      </c>
      <c r="K22" s="13" t="str">
        <f aca="false">IF(OR('Raw Responses'!T22="",'Raw Responses'!U22=""),"Incomplete",IFERROR(INDEX('Kano Matrix'!$B$5:$F$9,MATCH('Raw Responses'!T22,'Kano Matrix'!$A$5:$A$9,0),MATCH('Raw Responses'!U22,'Kano Matrix'!$B$4:$F$4,0)),"Incomplete"))</f>
        <v>O</v>
      </c>
    </row>
    <row r="23" customFormat="false" ht="15" hidden="false" customHeight="false" outlineLevel="0" collapsed="false">
      <c r="A23" s="4" t="str">
        <f aca="false">'Raw Responses'!A23</f>
        <v>2026/09/23 12:48:59 PM GMT+5</v>
      </c>
      <c r="B23" s="13" t="str">
        <f aca="false">IF(OR('Raw Responses'!B23="",'Raw Responses'!C23=""),"Incomplete",IFERROR(INDEX('Kano Matrix'!$B$5:$F$9,MATCH('Raw Responses'!B23,'Kano Matrix'!$A$5:$A$9,0),MATCH('Raw Responses'!C23,'Kano Matrix'!$B$4:$F$4,0)),"Incomplete"))</f>
        <v>I</v>
      </c>
      <c r="C23" s="13" t="str">
        <f aca="false">IF(OR('Raw Responses'!D23="",'Raw Responses'!E23=""),"Incomplete",IFERROR(INDEX('Kano Matrix'!$B$5:$F$9,MATCH('Raw Responses'!D23,'Kano Matrix'!$A$5:$A$9,0),MATCH('Raw Responses'!E23,'Kano Matrix'!$B$4:$F$4,0)),"Incomplete"))</f>
        <v>Incomplete</v>
      </c>
      <c r="D23" s="13" t="str">
        <f aca="false">IF(OR('Raw Responses'!F23="",'Raw Responses'!G23=""),"Incomplete",IFERROR(INDEX('Kano Matrix'!$B$5:$F$9,MATCH('Raw Responses'!F23,'Kano Matrix'!$A$5:$A$9,0),MATCH('Raw Responses'!G23,'Kano Matrix'!$B$4:$F$4,0)),"Incomplete"))</f>
        <v>Incomplete</v>
      </c>
      <c r="E23" s="13" t="str">
        <f aca="false">IF(OR('Raw Responses'!H23="",'Raw Responses'!I23=""),"Incomplete",IFERROR(INDEX('Kano Matrix'!$B$5:$F$9,MATCH('Raw Responses'!H23,'Kano Matrix'!$A$5:$A$9,0),MATCH('Raw Responses'!I23,'Kano Matrix'!$B$4:$F$4,0)),"Incomplete"))</f>
        <v>I</v>
      </c>
      <c r="F23" s="13" t="str">
        <f aca="false">IF(OR('Raw Responses'!J23="",'Raw Responses'!K23=""),"Incomplete",IFERROR(INDEX('Kano Matrix'!$B$5:$F$9,MATCH('Raw Responses'!J23,'Kano Matrix'!$A$5:$A$9,0),MATCH('Raw Responses'!K23,'Kano Matrix'!$B$4:$F$4,0)),"Incomplete"))</f>
        <v>Incomplete</v>
      </c>
      <c r="G23" s="13" t="str">
        <f aca="false">IF(OR('Raw Responses'!L23="",'Raw Responses'!M23=""),"Incomplete",IFERROR(INDEX('Kano Matrix'!$B$5:$F$9,MATCH('Raw Responses'!L23,'Kano Matrix'!$A$5:$A$9,0),MATCH('Raw Responses'!M23,'Kano Matrix'!$B$4:$F$4,0)),"Incomplete"))</f>
        <v>Q</v>
      </c>
      <c r="H23" s="13" t="str">
        <f aca="false">IF(OR('Raw Responses'!N23="",'Raw Responses'!O23=""),"Incomplete",IFERROR(INDEX('Kano Matrix'!$B$5:$F$9,MATCH('Raw Responses'!N23,'Kano Matrix'!$A$5:$A$9,0),MATCH('Raw Responses'!O23,'Kano Matrix'!$B$4:$F$4,0)),"Incomplete"))</f>
        <v>Incomplete</v>
      </c>
      <c r="I23" s="13" t="str">
        <f aca="false">IF(OR('Raw Responses'!P23="",'Raw Responses'!Q23=""),"Incomplete",IFERROR(INDEX('Kano Matrix'!$B$5:$F$9,MATCH('Raw Responses'!P23,'Kano Matrix'!$A$5:$A$9,0),MATCH('Raw Responses'!Q23,'Kano Matrix'!$B$4:$F$4,0)),"Incomplete"))</f>
        <v>Incomplete</v>
      </c>
      <c r="J23" s="13" t="str">
        <f aca="false">IF(OR('Raw Responses'!R23="",'Raw Responses'!S23=""),"Incomplete",IFERROR(INDEX('Kano Matrix'!$B$5:$F$9,MATCH('Raw Responses'!R23,'Kano Matrix'!$A$5:$A$9,0),MATCH('Raw Responses'!S23,'Kano Matrix'!$B$4:$F$4,0)),"Incomplete"))</f>
        <v>Incomplete</v>
      </c>
      <c r="K23" s="13" t="str">
        <f aca="false">IF(OR('Raw Responses'!T23="",'Raw Responses'!U23=""),"Incomplete",IFERROR(INDEX('Kano Matrix'!$B$5:$F$9,MATCH('Raw Responses'!T23,'Kano Matrix'!$A$5:$A$9,0),MATCH('Raw Responses'!U23,'Kano Matrix'!$B$4:$F$4,0)),"Incomplete"))</f>
        <v>Q</v>
      </c>
    </row>
    <row r="24" customFormat="false" ht="15" hidden="false" customHeight="false" outlineLevel="0" collapsed="false">
      <c r="A24" s="4" t="str">
        <f aca="false">'Raw Responses'!A24</f>
        <v>2026/09/23 1:00:12 PM GMT+5</v>
      </c>
      <c r="B24" s="13" t="str">
        <f aca="false">IF(OR('Raw Responses'!B24="",'Raw Responses'!C24=""),"Incomplete",IFERROR(INDEX('Kano Matrix'!$B$5:$F$9,MATCH('Raw Responses'!B24,'Kano Matrix'!$A$5:$A$9,0),MATCH('Raw Responses'!C24,'Kano Matrix'!$B$4:$F$4,0)),"Incomplete"))</f>
        <v>A</v>
      </c>
      <c r="C24" s="13" t="str">
        <f aca="false">IF(OR('Raw Responses'!D24="",'Raw Responses'!E24=""),"Incomplete",IFERROR(INDEX('Kano Matrix'!$B$5:$F$9,MATCH('Raw Responses'!D24,'Kano Matrix'!$A$5:$A$9,0),MATCH('Raw Responses'!E24,'Kano Matrix'!$B$4:$F$4,0)),"Incomplete"))</f>
        <v>I</v>
      </c>
      <c r="D24" s="13" t="str">
        <f aca="false">IF(OR('Raw Responses'!F24="",'Raw Responses'!G24=""),"Incomplete",IFERROR(INDEX('Kano Matrix'!$B$5:$F$9,MATCH('Raw Responses'!F24,'Kano Matrix'!$A$5:$A$9,0),MATCH('Raw Responses'!G24,'Kano Matrix'!$B$4:$F$4,0)),"Incomplete"))</f>
        <v>I</v>
      </c>
      <c r="E24" s="13" t="str">
        <f aca="false">IF(OR('Raw Responses'!H24="",'Raw Responses'!I24=""),"Incomplete",IFERROR(INDEX('Kano Matrix'!$B$5:$F$9,MATCH('Raw Responses'!H24,'Kano Matrix'!$A$5:$A$9,0),MATCH('Raw Responses'!I24,'Kano Matrix'!$B$4:$F$4,0)),"Incomplete"))</f>
        <v>Incomplete</v>
      </c>
      <c r="F24" s="13" t="str">
        <f aca="false">IF(OR('Raw Responses'!J24="",'Raw Responses'!K24=""),"Incomplete",IFERROR(INDEX('Kano Matrix'!$B$5:$F$9,MATCH('Raw Responses'!J24,'Kano Matrix'!$A$5:$A$9,0),MATCH('Raw Responses'!K24,'Kano Matrix'!$B$4:$F$4,0)),"Incomplete"))</f>
        <v>O</v>
      </c>
      <c r="G24" s="13" t="str">
        <f aca="false">IF(OR('Raw Responses'!L24="",'Raw Responses'!M24=""),"Incomplete",IFERROR(INDEX('Kano Matrix'!$B$5:$F$9,MATCH('Raw Responses'!L24,'Kano Matrix'!$A$5:$A$9,0),MATCH('Raw Responses'!M24,'Kano Matrix'!$B$4:$F$4,0)),"Incomplete"))</f>
        <v>Q</v>
      </c>
      <c r="H24" s="13" t="str">
        <f aca="false">IF(OR('Raw Responses'!N24="",'Raw Responses'!O24=""),"Incomplete",IFERROR(INDEX('Kano Matrix'!$B$5:$F$9,MATCH('Raw Responses'!N24,'Kano Matrix'!$A$5:$A$9,0),MATCH('Raw Responses'!O24,'Kano Matrix'!$B$4:$F$4,0)),"Incomplete"))</f>
        <v>Q</v>
      </c>
      <c r="I24" s="13" t="str">
        <f aca="false">IF(OR('Raw Responses'!P24="",'Raw Responses'!Q24=""),"Incomplete",IFERROR(INDEX('Kano Matrix'!$B$5:$F$9,MATCH('Raw Responses'!P24,'Kano Matrix'!$A$5:$A$9,0),MATCH('Raw Responses'!Q24,'Kano Matrix'!$B$4:$F$4,0)),"Incomplete"))</f>
        <v>R</v>
      </c>
      <c r="J24" s="13" t="str">
        <f aca="false">IF(OR('Raw Responses'!R24="",'Raw Responses'!S24=""),"Incomplete",IFERROR(INDEX('Kano Matrix'!$B$5:$F$9,MATCH('Raw Responses'!R24,'Kano Matrix'!$A$5:$A$9,0),MATCH('Raw Responses'!S24,'Kano Matrix'!$B$4:$F$4,0)),"Incomplete"))</f>
        <v>I</v>
      </c>
      <c r="K24" s="13" t="str">
        <f aca="false">IF(OR('Raw Responses'!T24="",'Raw Responses'!U24=""),"Incomplete",IFERROR(INDEX('Kano Matrix'!$B$5:$F$9,MATCH('Raw Responses'!T24,'Kano Matrix'!$A$5:$A$9,0),MATCH('Raw Responses'!U24,'Kano Matrix'!$B$4:$F$4,0)),"Incomplete"))</f>
        <v>I</v>
      </c>
    </row>
    <row r="25" customFormat="false" ht="15" hidden="false" customHeight="false" outlineLevel="0" collapsed="false">
      <c r="A25" s="4" t="str">
        <f aca="false">'Raw Responses'!A25</f>
        <v>2026/09/23 1:00:33 PM GMT+5</v>
      </c>
      <c r="B25" s="13" t="str">
        <f aca="false">IF(OR('Raw Responses'!B25="",'Raw Responses'!C25=""),"Incomplete",IFERROR(INDEX('Kano Matrix'!$B$5:$F$9,MATCH('Raw Responses'!B25,'Kano Matrix'!$A$5:$A$9,0),MATCH('Raw Responses'!C25,'Kano Matrix'!$B$4:$F$4,0)),"Incomplete"))</f>
        <v>A</v>
      </c>
      <c r="C25" s="13" t="str">
        <f aca="false">IF(OR('Raw Responses'!D25="",'Raw Responses'!E25=""),"Incomplete",IFERROR(INDEX('Kano Matrix'!$B$5:$F$9,MATCH('Raw Responses'!D25,'Kano Matrix'!$A$5:$A$9,0),MATCH('Raw Responses'!E25,'Kano Matrix'!$B$4:$F$4,0)),"Incomplete"))</f>
        <v>O</v>
      </c>
      <c r="D25" s="13" t="str">
        <f aca="false">IF(OR('Raw Responses'!F25="",'Raw Responses'!G25=""),"Incomplete",IFERROR(INDEX('Kano Matrix'!$B$5:$F$9,MATCH('Raw Responses'!F25,'Kano Matrix'!$A$5:$A$9,0),MATCH('Raw Responses'!G25,'Kano Matrix'!$B$4:$F$4,0)),"Incomplete"))</f>
        <v>O</v>
      </c>
      <c r="E25" s="13" t="str">
        <f aca="false">IF(OR('Raw Responses'!H25="",'Raw Responses'!I25=""),"Incomplete",IFERROR(INDEX('Kano Matrix'!$B$5:$F$9,MATCH('Raw Responses'!H25,'Kano Matrix'!$A$5:$A$9,0),MATCH('Raw Responses'!I25,'Kano Matrix'!$B$4:$F$4,0)),"Incomplete"))</f>
        <v>Q</v>
      </c>
      <c r="F25" s="13" t="str">
        <f aca="false">IF(OR('Raw Responses'!J25="",'Raw Responses'!K25=""),"Incomplete",IFERROR(INDEX('Kano Matrix'!$B$5:$F$9,MATCH('Raw Responses'!J25,'Kano Matrix'!$A$5:$A$9,0),MATCH('Raw Responses'!K25,'Kano Matrix'!$B$4:$F$4,0)),"Incomplete"))</f>
        <v>Q</v>
      </c>
      <c r="G25" s="13" t="str">
        <f aca="false">IF(OR('Raw Responses'!L25="",'Raw Responses'!M25=""),"Incomplete",IFERROR(INDEX('Kano Matrix'!$B$5:$F$9,MATCH('Raw Responses'!L25,'Kano Matrix'!$A$5:$A$9,0),MATCH('Raw Responses'!M25,'Kano Matrix'!$B$4:$F$4,0)),"Incomplete"))</f>
        <v>Q</v>
      </c>
      <c r="H25" s="13" t="str">
        <f aca="false">IF(OR('Raw Responses'!N25="",'Raw Responses'!O25=""),"Incomplete",IFERROR(INDEX('Kano Matrix'!$B$5:$F$9,MATCH('Raw Responses'!N25,'Kano Matrix'!$A$5:$A$9,0),MATCH('Raw Responses'!O25,'Kano Matrix'!$B$4:$F$4,0)),"Incomplete"))</f>
        <v>Q</v>
      </c>
      <c r="I25" s="13" t="str">
        <f aca="false">IF(OR('Raw Responses'!P25="",'Raw Responses'!Q25=""),"Incomplete",IFERROR(INDEX('Kano Matrix'!$B$5:$F$9,MATCH('Raw Responses'!P25,'Kano Matrix'!$A$5:$A$9,0),MATCH('Raw Responses'!Q25,'Kano Matrix'!$B$4:$F$4,0)),"Incomplete"))</f>
        <v>Q</v>
      </c>
      <c r="J25" s="13" t="str">
        <f aca="false">IF(OR('Raw Responses'!R25="",'Raw Responses'!S25=""),"Incomplete",IFERROR(INDEX('Kano Matrix'!$B$5:$F$9,MATCH('Raw Responses'!R25,'Kano Matrix'!$A$5:$A$9,0),MATCH('Raw Responses'!S25,'Kano Matrix'!$B$4:$F$4,0)),"Incomplete"))</f>
        <v>Q</v>
      </c>
      <c r="K25" s="13" t="str">
        <f aca="false">IF(OR('Raw Responses'!T25="",'Raw Responses'!U25=""),"Incomplete",IFERROR(INDEX('Kano Matrix'!$B$5:$F$9,MATCH('Raw Responses'!T25,'Kano Matrix'!$A$5:$A$9,0),MATCH('Raw Responses'!U25,'Kano Matrix'!$B$4:$F$4,0)),"Incomplete"))</f>
        <v>Q</v>
      </c>
    </row>
    <row r="26" customFormat="false" ht="15" hidden="false" customHeight="false" outlineLevel="0" collapsed="false">
      <c r="A26" s="4" t="str">
        <f aca="false">'Raw Responses'!A26</f>
        <v>2026/09/23 1:02:01 PM GMT+5</v>
      </c>
      <c r="B26" s="13" t="str">
        <f aca="false">IF(OR('Raw Responses'!B26="",'Raw Responses'!C26=""),"Incomplete",IFERROR(INDEX('Kano Matrix'!$B$5:$F$9,MATCH('Raw Responses'!B26,'Kano Matrix'!$A$5:$A$9,0),MATCH('Raw Responses'!C26,'Kano Matrix'!$B$4:$F$4,0)),"Incomplete"))</f>
        <v>O</v>
      </c>
      <c r="C26" s="13" t="str">
        <f aca="false">IF(OR('Raw Responses'!D26="",'Raw Responses'!E26=""),"Incomplete",IFERROR(INDEX('Kano Matrix'!$B$5:$F$9,MATCH('Raw Responses'!D26,'Kano Matrix'!$A$5:$A$9,0),MATCH('Raw Responses'!E26,'Kano Matrix'!$B$4:$F$4,0)),"Incomplete"))</f>
        <v>O</v>
      </c>
      <c r="D26" s="13" t="str">
        <f aca="false">IF(OR('Raw Responses'!F26="",'Raw Responses'!G26=""),"Incomplete",IFERROR(INDEX('Kano Matrix'!$B$5:$F$9,MATCH('Raw Responses'!F26,'Kano Matrix'!$A$5:$A$9,0),MATCH('Raw Responses'!G26,'Kano Matrix'!$B$4:$F$4,0)),"Incomplete"))</f>
        <v>O</v>
      </c>
      <c r="E26" s="13" t="str">
        <f aca="false">IF(OR('Raw Responses'!H26="",'Raw Responses'!I26=""),"Incomplete",IFERROR(INDEX('Kano Matrix'!$B$5:$F$9,MATCH('Raw Responses'!H26,'Kano Matrix'!$A$5:$A$9,0),MATCH('Raw Responses'!I26,'Kano Matrix'!$B$4:$F$4,0)),"Incomplete"))</f>
        <v>O</v>
      </c>
      <c r="F26" s="13" t="str">
        <f aca="false">IF(OR('Raw Responses'!J26="",'Raw Responses'!K26=""),"Incomplete",IFERROR(INDEX('Kano Matrix'!$B$5:$F$9,MATCH('Raw Responses'!J26,'Kano Matrix'!$A$5:$A$9,0),MATCH('Raw Responses'!K26,'Kano Matrix'!$B$4:$F$4,0)),"Incomplete"))</f>
        <v>O</v>
      </c>
      <c r="G26" s="13" t="str">
        <f aca="false">IF(OR('Raw Responses'!L26="",'Raw Responses'!M26=""),"Incomplete",IFERROR(INDEX('Kano Matrix'!$B$5:$F$9,MATCH('Raw Responses'!L26,'Kano Matrix'!$A$5:$A$9,0),MATCH('Raw Responses'!M26,'Kano Matrix'!$B$4:$F$4,0)),"Incomplete"))</f>
        <v>O</v>
      </c>
      <c r="H26" s="13" t="str">
        <f aca="false">IF(OR('Raw Responses'!N26="",'Raw Responses'!O26=""),"Incomplete",IFERROR(INDEX('Kano Matrix'!$B$5:$F$9,MATCH('Raw Responses'!N26,'Kano Matrix'!$A$5:$A$9,0),MATCH('Raw Responses'!O26,'Kano Matrix'!$B$4:$F$4,0)),"Incomplete"))</f>
        <v>O</v>
      </c>
      <c r="I26" s="13" t="str">
        <f aca="false">IF(OR('Raw Responses'!P26="",'Raw Responses'!Q26=""),"Incomplete",IFERROR(INDEX('Kano Matrix'!$B$5:$F$9,MATCH('Raw Responses'!P26,'Kano Matrix'!$A$5:$A$9,0),MATCH('Raw Responses'!Q26,'Kano Matrix'!$B$4:$F$4,0)),"Incomplete"))</f>
        <v>O</v>
      </c>
      <c r="J26" s="13" t="str">
        <f aca="false">IF(OR('Raw Responses'!R26="",'Raw Responses'!S26=""),"Incomplete",IFERROR(INDEX('Kano Matrix'!$B$5:$F$9,MATCH('Raw Responses'!R26,'Kano Matrix'!$A$5:$A$9,0),MATCH('Raw Responses'!S26,'Kano Matrix'!$B$4:$F$4,0)),"Incomplete"))</f>
        <v>O</v>
      </c>
      <c r="K26" s="13" t="str">
        <f aca="false">IF(OR('Raw Responses'!T26="",'Raw Responses'!U26=""),"Incomplete",IFERROR(INDEX('Kano Matrix'!$B$5:$F$9,MATCH('Raw Responses'!T26,'Kano Matrix'!$A$5:$A$9,0),MATCH('Raw Responses'!U26,'Kano Matrix'!$B$4:$F$4,0)),"Incomplete"))</f>
        <v>O</v>
      </c>
    </row>
    <row r="27" customFormat="false" ht="15" hidden="false" customHeight="false" outlineLevel="0" collapsed="false">
      <c r="A27" s="4" t="str">
        <f aca="false">'Raw Responses'!A27</f>
        <v>2026/09/23 1:06:11 PM GMT+5</v>
      </c>
      <c r="B27" s="13" t="str">
        <f aca="false">IF(OR('Raw Responses'!B27="",'Raw Responses'!C27=""),"Incomplete",IFERROR(INDEX('Kano Matrix'!$B$5:$F$9,MATCH('Raw Responses'!B27,'Kano Matrix'!$A$5:$A$9,0),MATCH('Raw Responses'!C27,'Kano Matrix'!$B$4:$F$4,0)),"Incomplete"))</f>
        <v>A</v>
      </c>
      <c r="C27" s="13" t="str">
        <f aca="false">IF(OR('Raw Responses'!D27="",'Raw Responses'!E27=""),"Incomplete",IFERROR(INDEX('Kano Matrix'!$B$5:$F$9,MATCH('Raw Responses'!D27,'Kano Matrix'!$A$5:$A$9,0),MATCH('Raw Responses'!E27,'Kano Matrix'!$B$4:$F$4,0)),"Incomplete"))</f>
        <v>I</v>
      </c>
      <c r="D27" s="13" t="str">
        <f aca="false">IF(OR('Raw Responses'!F27="",'Raw Responses'!G27=""),"Incomplete",IFERROR(INDEX('Kano Matrix'!$B$5:$F$9,MATCH('Raw Responses'!F27,'Kano Matrix'!$A$5:$A$9,0),MATCH('Raw Responses'!G27,'Kano Matrix'!$B$4:$F$4,0)),"Incomplete"))</f>
        <v>I</v>
      </c>
      <c r="E27" s="13" t="str">
        <f aca="false">IF(OR('Raw Responses'!H27="",'Raw Responses'!I27=""),"Incomplete",IFERROR(INDEX('Kano Matrix'!$B$5:$F$9,MATCH('Raw Responses'!H27,'Kano Matrix'!$A$5:$A$9,0),MATCH('Raw Responses'!I27,'Kano Matrix'!$B$4:$F$4,0)),"Incomplete"))</f>
        <v>I</v>
      </c>
      <c r="F27" s="13" t="str">
        <f aca="false">IF(OR('Raw Responses'!J27="",'Raw Responses'!K27=""),"Incomplete",IFERROR(INDEX('Kano Matrix'!$B$5:$F$9,MATCH('Raw Responses'!J27,'Kano Matrix'!$A$5:$A$9,0),MATCH('Raw Responses'!K27,'Kano Matrix'!$B$4:$F$4,0)),"Incomplete"))</f>
        <v>I</v>
      </c>
      <c r="G27" s="13" t="str">
        <f aca="false">IF(OR('Raw Responses'!L27="",'Raw Responses'!M27=""),"Incomplete",IFERROR(INDEX('Kano Matrix'!$B$5:$F$9,MATCH('Raw Responses'!L27,'Kano Matrix'!$A$5:$A$9,0),MATCH('Raw Responses'!M27,'Kano Matrix'!$B$4:$F$4,0)),"Incomplete"))</f>
        <v>I</v>
      </c>
      <c r="H27" s="13" t="str">
        <f aca="false">IF(OR('Raw Responses'!N27="",'Raw Responses'!O27=""),"Incomplete",IFERROR(INDEX('Kano Matrix'!$B$5:$F$9,MATCH('Raw Responses'!N27,'Kano Matrix'!$A$5:$A$9,0),MATCH('Raw Responses'!O27,'Kano Matrix'!$B$4:$F$4,0)),"Incomplete"))</f>
        <v>I</v>
      </c>
      <c r="I27" s="13" t="str">
        <f aca="false">IF(OR('Raw Responses'!P27="",'Raw Responses'!Q27=""),"Incomplete",IFERROR(INDEX('Kano Matrix'!$B$5:$F$9,MATCH('Raw Responses'!P27,'Kano Matrix'!$A$5:$A$9,0),MATCH('Raw Responses'!Q27,'Kano Matrix'!$B$4:$F$4,0)),"Incomplete"))</f>
        <v>A</v>
      </c>
      <c r="J27" s="13" t="str">
        <f aca="false">IF(OR('Raw Responses'!R27="",'Raw Responses'!S27=""),"Incomplete",IFERROR(INDEX('Kano Matrix'!$B$5:$F$9,MATCH('Raw Responses'!R27,'Kano Matrix'!$A$5:$A$9,0),MATCH('Raw Responses'!S27,'Kano Matrix'!$B$4:$F$4,0)),"Incomplete"))</f>
        <v>R</v>
      </c>
      <c r="K27" s="13" t="str">
        <f aca="false">IF(OR('Raw Responses'!T27="",'Raw Responses'!U27=""),"Incomplete",IFERROR(INDEX('Kano Matrix'!$B$5:$F$9,MATCH('Raw Responses'!T27,'Kano Matrix'!$A$5:$A$9,0),MATCH('Raw Responses'!U27,'Kano Matrix'!$B$4:$F$4,0)),"Incomplete"))</f>
        <v>O</v>
      </c>
    </row>
    <row r="28" customFormat="false" ht="15" hidden="false" customHeight="false" outlineLevel="0" collapsed="false">
      <c r="A28" s="4" t="str">
        <f aca="false">'Raw Responses'!A28</f>
        <v>2026/09/23 1:29:42 PM GMT+5</v>
      </c>
      <c r="B28" s="13" t="str">
        <f aca="false">IF(OR('Raw Responses'!B28="",'Raw Responses'!C28=""),"Incomplete",IFERROR(INDEX('Kano Matrix'!$B$5:$F$9,MATCH('Raw Responses'!B28,'Kano Matrix'!$A$5:$A$9,0),MATCH('Raw Responses'!C28,'Kano Matrix'!$B$4:$F$4,0)),"Incomplete"))</f>
        <v>A</v>
      </c>
      <c r="C28" s="13" t="str">
        <f aca="false">IF(OR('Raw Responses'!D28="",'Raw Responses'!E28=""),"Incomplete",IFERROR(INDEX('Kano Matrix'!$B$5:$F$9,MATCH('Raw Responses'!D28,'Kano Matrix'!$A$5:$A$9,0),MATCH('Raw Responses'!E28,'Kano Matrix'!$B$4:$F$4,0)),"Incomplete"))</f>
        <v>O</v>
      </c>
      <c r="D28" s="13" t="str">
        <f aca="false">IF(OR('Raw Responses'!F28="",'Raw Responses'!G28=""),"Incomplete",IFERROR(INDEX('Kano Matrix'!$B$5:$F$9,MATCH('Raw Responses'!F28,'Kano Matrix'!$A$5:$A$9,0),MATCH('Raw Responses'!G28,'Kano Matrix'!$B$4:$F$4,0)),"Incomplete"))</f>
        <v>O</v>
      </c>
      <c r="E28" s="13" t="str">
        <f aca="false">IF(OR('Raw Responses'!H28="",'Raw Responses'!I28=""),"Incomplete",IFERROR(INDEX('Kano Matrix'!$B$5:$F$9,MATCH('Raw Responses'!H28,'Kano Matrix'!$A$5:$A$9,0),MATCH('Raw Responses'!I28,'Kano Matrix'!$B$4:$F$4,0)),"Incomplete"))</f>
        <v>O</v>
      </c>
      <c r="F28" s="13" t="str">
        <f aca="false">IF(OR('Raw Responses'!J28="",'Raw Responses'!K28=""),"Incomplete",IFERROR(INDEX('Kano Matrix'!$B$5:$F$9,MATCH('Raw Responses'!J28,'Kano Matrix'!$A$5:$A$9,0),MATCH('Raw Responses'!K28,'Kano Matrix'!$B$4:$F$4,0)),"Incomplete"))</f>
        <v>O</v>
      </c>
      <c r="G28" s="13" t="str">
        <f aca="false">IF(OR('Raw Responses'!L28="",'Raw Responses'!M28=""),"Incomplete",IFERROR(INDEX('Kano Matrix'!$B$5:$F$9,MATCH('Raw Responses'!L28,'Kano Matrix'!$A$5:$A$9,0),MATCH('Raw Responses'!M28,'Kano Matrix'!$B$4:$F$4,0)),"Incomplete"))</f>
        <v>A</v>
      </c>
      <c r="H28" s="13" t="str">
        <f aca="false">IF(OR('Raw Responses'!N28="",'Raw Responses'!O28=""),"Incomplete",IFERROR(INDEX('Kano Matrix'!$B$5:$F$9,MATCH('Raw Responses'!N28,'Kano Matrix'!$A$5:$A$9,0),MATCH('Raw Responses'!O28,'Kano Matrix'!$B$4:$F$4,0)),"Incomplete"))</f>
        <v>O</v>
      </c>
      <c r="I28" s="13" t="str">
        <f aca="false">IF(OR('Raw Responses'!P28="",'Raw Responses'!Q28=""),"Incomplete",IFERROR(INDEX('Kano Matrix'!$B$5:$F$9,MATCH('Raw Responses'!P28,'Kano Matrix'!$A$5:$A$9,0),MATCH('Raw Responses'!Q28,'Kano Matrix'!$B$4:$F$4,0)),"Incomplete"))</f>
        <v>O</v>
      </c>
      <c r="J28" s="13" t="str">
        <f aca="false">IF(OR('Raw Responses'!R28="",'Raw Responses'!S28=""),"Incomplete",IFERROR(INDEX('Kano Matrix'!$B$5:$F$9,MATCH('Raw Responses'!R28,'Kano Matrix'!$A$5:$A$9,0),MATCH('Raw Responses'!S28,'Kano Matrix'!$B$4:$F$4,0)),"Incomplete"))</f>
        <v>Incomplete</v>
      </c>
      <c r="K28" s="13" t="str">
        <f aca="false">IF(OR('Raw Responses'!T28="",'Raw Responses'!U28=""),"Incomplete",IFERROR(INDEX('Kano Matrix'!$B$5:$F$9,MATCH('Raw Responses'!T28,'Kano Matrix'!$A$5:$A$9,0),MATCH('Raw Responses'!U28,'Kano Matrix'!$B$4:$F$4,0)),"Incomplete"))</f>
        <v>O</v>
      </c>
    </row>
    <row r="29" customFormat="false" ht="15" hidden="false" customHeight="false" outlineLevel="0" collapsed="false">
      <c r="A29" s="4" t="str">
        <f aca="false">'Raw Responses'!A29</f>
        <v>2026/09/23 1:29:46 PM GMT+5</v>
      </c>
      <c r="B29" s="13" t="str">
        <f aca="false">IF(OR('Raw Responses'!B29="",'Raw Responses'!C29=""),"Incomplete",IFERROR(INDEX('Kano Matrix'!$B$5:$F$9,MATCH('Raw Responses'!B29,'Kano Matrix'!$A$5:$A$9,0),MATCH('Raw Responses'!C29,'Kano Matrix'!$B$4:$F$4,0)),"Incomplete"))</f>
        <v>I</v>
      </c>
      <c r="C29" s="13" t="str">
        <f aca="false">IF(OR('Raw Responses'!D29="",'Raw Responses'!E29=""),"Incomplete",IFERROR(INDEX('Kano Matrix'!$B$5:$F$9,MATCH('Raw Responses'!D29,'Kano Matrix'!$A$5:$A$9,0),MATCH('Raw Responses'!E29,'Kano Matrix'!$B$4:$F$4,0)),"Incomplete"))</f>
        <v>A</v>
      </c>
      <c r="D29" s="13" t="str">
        <f aca="false">IF(OR('Raw Responses'!F29="",'Raw Responses'!G29=""),"Incomplete",IFERROR(INDEX('Kano Matrix'!$B$5:$F$9,MATCH('Raw Responses'!F29,'Kano Matrix'!$A$5:$A$9,0),MATCH('Raw Responses'!G29,'Kano Matrix'!$B$4:$F$4,0)),"Incomplete"))</f>
        <v>I</v>
      </c>
      <c r="E29" s="13" t="str">
        <f aca="false">IF(OR('Raw Responses'!H29="",'Raw Responses'!I29=""),"Incomplete",IFERROR(INDEX('Kano Matrix'!$B$5:$F$9,MATCH('Raw Responses'!H29,'Kano Matrix'!$A$5:$A$9,0),MATCH('Raw Responses'!I29,'Kano Matrix'!$B$4:$F$4,0)),"Incomplete"))</f>
        <v>I</v>
      </c>
      <c r="F29" s="13" t="str">
        <f aca="false">IF(OR('Raw Responses'!J29="",'Raw Responses'!K29=""),"Incomplete",IFERROR(INDEX('Kano Matrix'!$B$5:$F$9,MATCH('Raw Responses'!J29,'Kano Matrix'!$A$5:$A$9,0),MATCH('Raw Responses'!K29,'Kano Matrix'!$B$4:$F$4,0)),"Incomplete"))</f>
        <v>I</v>
      </c>
      <c r="G29" s="13" t="str">
        <f aca="false">IF(OR('Raw Responses'!L29="",'Raw Responses'!M29=""),"Incomplete",IFERROR(INDEX('Kano Matrix'!$B$5:$F$9,MATCH('Raw Responses'!L29,'Kano Matrix'!$A$5:$A$9,0),MATCH('Raw Responses'!M29,'Kano Matrix'!$B$4:$F$4,0)),"Incomplete"))</f>
        <v>I</v>
      </c>
      <c r="H29" s="13" t="str">
        <f aca="false">IF(OR('Raw Responses'!N29="",'Raw Responses'!O29=""),"Incomplete",IFERROR(INDEX('Kano Matrix'!$B$5:$F$9,MATCH('Raw Responses'!N29,'Kano Matrix'!$A$5:$A$9,0),MATCH('Raw Responses'!O29,'Kano Matrix'!$B$4:$F$4,0)),"Incomplete"))</f>
        <v>O</v>
      </c>
      <c r="I29" s="13" t="str">
        <f aca="false">IF(OR('Raw Responses'!P29="",'Raw Responses'!Q29=""),"Incomplete",IFERROR(INDEX('Kano Matrix'!$B$5:$F$9,MATCH('Raw Responses'!P29,'Kano Matrix'!$A$5:$A$9,0),MATCH('Raw Responses'!Q29,'Kano Matrix'!$B$4:$F$4,0)),"Incomplete"))</f>
        <v>I</v>
      </c>
      <c r="J29" s="13" t="str">
        <f aca="false">IF(OR('Raw Responses'!R29="",'Raw Responses'!S29=""),"Incomplete",IFERROR(INDEX('Kano Matrix'!$B$5:$F$9,MATCH('Raw Responses'!R29,'Kano Matrix'!$A$5:$A$9,0),MATCH('Raw Responses'!S29,'Kano Matrix'!$B$4:$F$4,0)),"Incomplete"))</f>
        <v>M</v>
      </c>
      <c r="K29" s="13" t="str">
        <f aca="false">IF(OR('Raw Responses'!T29="",'Raw Responses'!U29=""),"Incomplete",IFERROR(INDEX('Kano Matrix'!$B$5:$F$9,MATCH('Raw Responses'!T29,'Kano Matrix'!$A$5:$A$9,0),MATCH('Raw Responses'!U29,'Kano Matrix'!$B$4:$F$4,0)),"Incomplete"))</f>
        <v>M</v>
      </c>
    </row>
    <row r="30" customFormat="false" ht="15" hidden="false" customHeight="false" outlineLevel="0" collapsed="false">
      <c r="A30" s="4" t="str">
        <f aca="false">'Raw Responses'!A30</f>
        <v>2026/09/23 1:47:39 PM GMT+5</v>
      </c>
      <c r="B30" s="13" t="str">
        <f aca="false">IF(OR('Raw Responses'!B30="",'Raw Responses'!C30=""),"Incomplete",IFERROR(INDEX('Kano Matrix'!$B$5:$F$9,MATCH('Raw Responses'!B30,'Kano Matrix'!$A$5:$A$9,0),MATCH('Raw Responses'!C30,'Kano Matrix'!$B$4:$F$4,0)),"Incomplete"))</f>
        <v>I</v>
      </c>
      <c r="C30" s="13" t="str">
        <f aca="false">IF(OR('Raw Responses'!D30="",'Raw Responses'!E30=""),"Incomplete",IFERROR(INDEX('Kano Matrix'!$B$5:$F$9,MATCH('Raw Responses'!D30,'Kano Matrix'!$A$5:$A$9,0),MATCH('Raw Responses'!E30,'Kano Matrix'!$B$4:$F$4,0)),"Incomplete"))</f>
        <v>I</v>
      </c>
      <c r="D30" s="13" t="str">
        <f aca="false">IF(OR('Raw Responses'!F30="",'Raw Responses'!G30=""),"Incomplete",IFERROR(INDEX('Kano Matrix'!$B$5:$F$9,MATCH('Raw Responses'!F30,'Kano Matrix'!$A$5:$A$9,0),MATCH('Raw Responses'!G30,'Kano Matrix'!$B$4:$F$4,0)),"Incomplete"))</f>
        <v>O</v>
      </c>
      <c r="E30" s="13" t="str">
        <f aca="false">IF(OR('Raw Responses'!H30="",'Raw Responses'!I30=""),"Incomplete",IFERROR(INDEX('Kano Matrix'!$B$5:$F$9,MATCH('Raw Responses'!H30,'Kano Matrix'!$A$5:$A$9,0),MATCH('Raw Responses'!I30,'Kano Matrix'!$B$4:$F$4,0)),"Incomplete"))</f>
        <v>O</v>
      </c>
      <c r="F30" s="13" t="str">
        <f aca="false">IF(OR('Raw Responses'!J30="",'Raw Responses'!K30=""),"Incomplete",IFERROR(INDEX('Kano Matrix'!$B$5:$F$9,MATCH('Raw Responses'!J30,'Kano Matrix'!$A$5:$A$9,0),MATCH('Raw Responses'!K30,'Kano Matrix'!$B$4:$F$4,0)),"Incomplete"))</f>
        <v>I</v>
      </c>
      <c r="G30" s="13" t="str">
        <f aca="false">IF(OR('Raw Responses'!L30="",'Raw Responses'!M30=""),"Incomplete",IFERROR(INDEX('Kano Matrix'!$B$5:$F$9,MATCH('Raw Responses'!L30,'Kano Matrix'!$A$5:$A$9,0),MATCH('Raw Responses'!M30,'Kano Matrix'!$B$4:$F$4,0)),"Incomplete"))</f>
        <v>M</v>
      </c>
      <c r="H30" s="13" t="str">
        <f aca="false">IF(OR('Raw Responses'!N30="",'Raw Responses'!O30=""),"Incomplete",IFERROR(INDEX('Kano Matrix'!$B$5:$F$9,MATCH('Raw Responses'!N30,'Kano Matrix'!$A$5:$A$9,0),MATCH('Raw Responses'!O30,'Kano Matrix'!$B$4:$F$4,0)),"Incomplete"))</f>
        <v>O</v>
      </c>
      <c r="I30" s="13" t="str">
        <f aca="false">IF(OR('Raw Responses'!P30="",'Raw Responses'!Q30=""),"Incomplete",IFERROR(INDEX('Kano Matrix'!$B$5:$F$9,MATCH('Raw Responses'!P30,'Kano Matrix'!$A$5:$A$9,0),MATCH('Raw Responses'!Q30,'Kano Matrix'!$B$4:$F$4,0)),"Incomplete"))</f>
        <v>I</v>
      </c>
      <c r="J30" s="13" t="str">
        <f aca="false">IF(OR('Raw Responses'!R30="",'Raw Responses'!S30=""),"Incomplete",IFERROR(INDEX('Kano Matrix'!$B$5:$F$9,MATCH('Raw Responses'!R30,'Kano Matrix'!$A$5:$A$9,0),MATCH('Raw Responses'!S30,'Kano Matrix'!$B$4:$F$4,0)),"Incomplete"))</f>
        <v>A</v>
      </c>
      <c r="K30" s="13" t="str">
        <f aca="false">IF(OR('Raw Responses'!T30="",'Raw Responses'!U30=""),"Incomplete",IFERROR(INDEX('Kano Matrix'!$B$5:$F$9,MATCH('Raw Responses'!T30,'Kano Matrix'!$A$5:$A$9,0),MATCH('Raw Responses'!U30,'Kano Matrix'!$B$4:$F$4,0)),"Incomplete"))</f>
        <v>I</v>
      </c>
    </row>
    <row r="31" customFormat="false" ht="15" hidden="false" customHeight="false" outlineLevel="0" collapsed="false">
      <c r="A31" s="4" t="str">
        <f aca="false">'Raw Responses'!A31</f>
        <v>2026/09/23 1:49:18 PM GMT+5</v>
      </c>
      <c r="B31" s="13" t="str">
        <f aca="false">IF(OR('Raw Responses'!B31="",'Raw Responses'!C31=""),"Incomplete",IFERROR(INDEX('Kano Matrix'!$B$5:$F$9,MATCH('Raw Responses'!B31,'Kano Matrix'!$A$5:$A$9,0),MATCH('Raw Responses'!C31,'Kano Matrix'!$B$4:$F$4,0)),"Incomplete"))</f>
        <v>I</v>
      </c>
      <c r="C31" s="13" t="str">
        <f aca="false">IF(OR('Raw Responses'!D31="",'Raw Responses'!E31=""),"Incomplete",IFERROR(INDEX('Kano Matrix'!$B$5:$F$9,MATCH('Raw Responses'!D31,'Kano Matrix'!$A$5:$A$9,0),MATCH('Raw Responses'!E31,'Kano Matrix'!$B$4:$F$4,0)),"Incomplete"))</f>
        <v>A</v>
      </c>
      <c r="D31" s="13" t="str">
        <f aca="false">IF(OR('Raw Responses'!F31="",'Raw Responses'!G31=""),"Incomplete",IFERROR(INDEX('Kano Matrix'!$B$5:$F$9,MATCH('Raw Responses'!F31,'Kano Matrix'!$A$5:$A$9,0),MATCH('Raw Responses'!G31,'Kano Matrix'!$B$4:$F$4,0)),"Incomplete"))</f>
        <v>O</v>
      </c>
      <c r="E31" s="13" t="str">
        <f aca="false">IF(OR('Raw Responses'!H31="",'Raw Responses'!I31=""),"Incomplete",IFERROR(INDEX('Kano Matrix'!$B$5:$F$9,MATCH('Raw Responses'!H31,'Kano Matrix'!$A$5:$A$9,0),MATCH('Raw Responses'!I31,'Kano Matrix'!$B$4:$F$4,0)),"Incomplete"))</f>
        <v>A</v>
      </c>
      <c r="F31" s="13" t="str">
        <f aca="false">IF(OR('Raw Responses'!J31="",'Raw Responses'!K31=""),"Incomplete",IFERROR(INDEX('Kano Matrix'!$B$5:$F$9,MATCH('Raw Responses'!J31,'Kano Matrix'!$A$5:$A$9,0),MATCH('Raw Responses'!K31,'Kano Matrix'!$B$4:$F$4,0)),"Incomplete"))</f>
        <v>A</v>
      </c>
      <c r="G31" s="13" t="str">
        <f aca="false">IF(OR('Raw Responses'!L31="",'Raw Responses'!M31=""),"Incomplete",IFERROR(INDEX('Kano Matrix'!$B$5:$F$9,MATCH('Raw Responses'!L31,'Kano Matrix'!$A$5:$A$9,0),MATCH('Raw Responses'!M31,'Kano Matrix'!$B$4:$F$4,0)),"Incomplete"))</f>
        <v>O</v>
      </c>
      <c r="H31" s="13" t="str">
        <f aca="false">IF(OR('Raw Responses'!N31="",'Raw Responses'!O31=""),"Incomplete",IFERROR(INDEX('Kano Matrix'!$B$5:$F$9,MATCH('Raw Responses'!N31,'Kano Matrix'!$A$5:$A$9,0),MATCH('Raw Responses'!O31,'Kano Matrix'!$B$4:$F$4,0)),"Incomplete"))</f>
        <v>M</v>
      </c>
      <c r="I31" s="13" t="str">
        <f aca="false">IF(OR('Raw Responses'!P31="",'Raw Responses'!Q31=""),"Incomplete",IFERROR(INDEX('Kano Matrix'!$B$5:$F$9,MATCH('Raw Responses'!P31,'Kano Matrix'!$A$5:$A$9,0),MATCH('Raw Responses'!Q31,'Kano Matrix'!$B$4:$F$4,0)),"Incomplete"))</f>
        <v>I</v>
      </c>
      <c r="J31" s="13" t="str">
        <f aca="false">IF(OR('Raw Responses'!R31="",'Raw Responses'!S31=""),"Incomplete",IFERROR(INDEX('Kano Matrix'!$B$5:$F$9,MATCH('Raw Responses'!R31,'Kano Matrix'!$A$5:$A$9,0),MATCH('Raw Responses'!S31,'Kano Matrix'!$B$4:$F$4,0)),"Incomplete"))</f>
        <v>O</v>
      </c>
      <c r="K31" s="13" t="str">
        <f aca="false">IF(OR('Raw Responses'!T31="",'Raw Responses'!U31=""),"Incomplete",IFERROR(INDEX('Kano Matrix'!$B$5:$F$9,MATCH('Raw Responses'!T31,'Kano Matrix'!$A$5:$A$9,0),MATCH('Raw Responses'!U31,'Kano Matrix'!$B$4:$F$4,0)),"Incomplete"))</f>
        <v>A</v>
      </c>
    </row>
    <row r="32" customFormat="false" ht="15" hidden="false" customHeight="false" outlineLevel="0" collapsed="false">
      <c r="A32" s="4" t="str">
        <f aca="false">'Raw Responses'!A32</f>
        <v>2026/09/23 1:57:38 PM GMT+5</v>
      </c>
      <c r="B32" s="13" t="str">
        <f aca="false">IF(OR('Raw Responses'!B32="",'Raw Responses'!C32=""),"Incomplete",IFERROR(INDEX('Kano Matrix'!$B$5:$F$9,MATCH('Raw Responses'!B32,'Kano Matrix'!$A$5:$A$9,0),MATCH('Raw Responses'!C32,'Kano Matrix'!$B$4:$F$4,0)),"Incomplete"))</f>
        <v>Q</v>
      </c>
      <c r="C32" s="13" t="str">
        <f aca="false">IF(OR('Raw Responses'!D32="",'Raw Responses'!E32=""),"Incomplete",IFERROR(INDEX('Kano Matrix'!$B$5:$F$9,MATCH('Raw Responses'!D32,'Kano Matrix'!$A$5:$A$9,0),MATCH('Raw Responses'!E32,'Kano Matrix'!$B$4:$F$4,0)),"Incomplete"))</f>
        <v>Q</v>
      </c>
      <c r="D32" s="13" t="str">
        <f aca="false">IF(OR('Raw Responses'!F32="",'Raw Responses'!G32=""),"Incomplete",IFERROR(INDEX('Kano Matrix'!$B$5:$F$9,MATCH('Raw Responses'!F32,'Kano Matrix'!$A$5:$A$9,0),MATCH('Raw Responses'!G32,'Kano Matrix'!$B$4:$F$4,0)),"Incomplete"))</f>
        <v>Q</v>
      </c>
      <c r="E32" s="13" t="str">
        <f aca="false">IF(OR('Raw Responses'!H32="",'Raw Responses'!I32=""),"Incomplete",IFERROR(INDEX('Kano Matrix'!$B$5:$F$9,MATCH('Raw Responses'!H32,'Kano Matrix'!$A$5:$A$9,0),MATCH('Raw Responses'!I32,'Kano Matrix'!$B$4:$F$4,0)),"Incomplete"))</f>
        <v>Q</v>
      </c>
      <c r="F32" s="13" t="str">
        <f aca="false">IF(OR('Raw Responses'!J32="",'Raw Responses'!K32=""),"Incomplete",IFERROR(INDEX('Kano Matrix'!$B$5:$F$9,MATCH('Raw Responses'!J32,'Kano Matrix'!$A$5:$A$9,0),MATCH('Raw Responses'!K32,'Kano Matrix'!$B$4:$F$4,0)),"Incomplete"))</f>
        <v>Q</v>
      </c>
      <c r="G32" s="13" t="str">
        <f aca="false">IF(OR('Raw Responses'!L32="",'Raw Responses'!M32=""),"Incomplete",IFERROR(INDEX('Kano Matrix'!$B$5:$F$9,MATCH('Raw Responses'!L32,'Kano Matrix'!$A$5:$A$9,0),MATCH('Raw Responses'!M32,'Kano Matrix'!$B$4:$F$4,0)),"Incomplete"))</f>
        <v>Q</v>
      </c>
      <c r="H32" s="13" t="str">
        <f aca="false">IF(OR('Raw Responses'!N32="",'Raw Responses'!O32=""),"Incomplete",IFERROR(INDEX('Kano Matrix'!$B$5:$F$9,MATCH('Raw Responses'!N32,'Kano Matrix'!$A$5:$A$9,0),MATCH('Raw Responses'!O32,'Kano Matrix'!$B$4:$F$4,0)),"Incomplete"))</f>
        <v>Q</v>
      </c>
      <c r="I32" s="13" t="str">
        <f aca="false">IF(OR('Raw Responses'!P32="",'Raw Responses'!Q32=""),"Incomplete",IFERROR(INDEX('Kano Matrix'!$B$5:$F$9,MATCH('Raw Responses'!P32,'Kano Matrix'!$A$5:$A$9,0),MATCH('Raw Responses'!Q32,'Kano Matrix'!$B$4:$F$4,0)),"Incomplete"))</f>
        <v>Q</v>
      </c>
      <c r="J32" s="13" t="str">
        <f aca="false">IF(OR('Raw Responses'!R32="",'Raw Responses'!S32=""),"Incomplete",IFERROR(INDEX('Kano Matrix'!$B$5:$F$9,MATCH('Raw Responses'!R32,'Kano Matrix'!$A$5:$A$9,0),MATCH('Raw Responses'!S32,'Kano Matrix'!$B$4:$F$4,0)),"Incomplete"))</f>
        <v>Q</v>
      </c>
      <c r="K32" s="13" t="str">
        <f aca="false">IF(OR('Raw Responses'!T32="",'Raw Responses'!U32=""),"Incomplete",IFERROR(INDEX('Kano Matrix'!$B$5:$F$9,MATCH('Raw Responses'!T32,'Kano Matrix'!$A$5:$A$9,0),MATCH('Raw Responses'!U32,'Kano Matrix'!$B$4:$F$4,0)),"Incomplete"))</f>
        <v>Q</v>
      </c>
    </row>
    <row r="33" customFormat="false" ht="15" hidden="false" customHeight="false" outlineLevel="0" collapsed="false">
      <c r="A33" s="4" t="str">
        <f aca="false">'Raw Responses'!A33</f>
        <v>2026/09/23 2:04:18 PM GMT+5</v>
      </c>
      <c r="B33" s="13" t="str">
        <f aca="false">IF(OR('Raw Responses'!B33="",'Raw Responses'!C33=""),"Incomplete",IFERROR(INDEX('Kano Matrix'!$B$5:$F$9,MATCH('Raw Responses'!B33,'Kano Matrix'!$A$5:$A$9,0),MATCH('Raw Responses'!C33,'Kano Matrix'!$B$4:$F$4,0)),"Incomplete"))</f>
        <v>A</v>
      </c>
      <c r="C33" s="13" t="str">
        <f aca="false">IF(OR('Raw Responses'!D33="",'Raw Responses'!E33=""),"Incomplete",IFERROR(INDEX('Kano Matrix'!$B$5:$F$9,MATCH('Raw Responses'!D33,'Kano Matrix'!$A$5:$A$9,0),MATCH('Raw Responses'!E33,'Kano Matrix'!$B$4:$F$4,0)),"Incomplete"))</f>
        <v>A</v>
      </c>
      <c r="D33" s="13" t="str">
        <f aca="false">IF(OR('Raw Responses'!F33="",'Raw Responses'!G33=""),"Incomplete",IFERROR(INDEX('Kano Matrix'!$B$5:$F$9,MATCH('Raw Responses'!F33,'Kano Matrix'!$A$5:$A$9,0),MATCH('Raw Responses'!G33,'Kano Matrix'!$B$4:$F$4,0)),"Incomplete"))</f>
        <v>A</v>
      </c>
      <c r="E33" s="13" t="str">
        <f aca="false">IF(OR('Raw Responses'!H33="",'Raw Responses'!I33=""),"Incomplete",IFERROR(INDEX('Kano Matrix'!$B$5:$F$9,MATCH('Raw Responses'!H33,'Kano Matrix'!$A$5:$A$9,0),MATCH('Raw Responses'!I33,'Kano Matrix'!$B$4:$F$4,0)),"Incomplete"))</f>
        <v>A</v>
      </c>
      <c r="F33" s="13" t="str">
        <f aca="false">IF(OR('Raw Responses'!J33="",'Raw Responses'!K33=""),"Incomplete",IFERROR(INDEX('Kano Matrix'!$B$5:$F$9,MATCH('Raw Responses'!J33,'Kano Matrix'!$A$5:$A$9,0),MATCH('Raw Responses'!K33,'Kano Matrix'!$B$4:$F$4,0)),"Incomplete"))</f>
        <v>I</v>
      </c>
      <c r="G33" s="13" t="str">
        <f aca="false">IF(OR('Raw Responses'!L33="",'Raw Responses'!M33=""),"Incomplete",IFERROR(INDEX('Kano Matrix'!$B$5:$F$9,MATCH('Raw Responses'!L33,'Kano Matrix'!$A$5:$A$9,0),MATCH('Raw Responses'!M33,'Kano Matrix'!$B$4:$F$4,0)),"Incomplete"))</f>
        <v>R</v>
      </c>
      <c r="H33" s="13" t="str">
        <f aca="false">IF(OR('Raw Responses'!N33="",'Raw Responses'!O33=""),"Incomplete",IFERROR(INDEX('Kano Matrix'!$B$5:$F$9,MATCH('Raw Responses'!N33,'Kano Matrix'!$A$5:$A$9,0),MATCH('Raw Responses'!O33,'Kano Matrix'!$B$4:$F$4,0)),"Incomplete"))</f>
        <v>A</v>
      </c>
      <c r="I33" s="13" t="str">
        <f aca="false">IF(OR('Raw Responses'!P33="",'Raw Responses'!Q33=""),"Incomplete",IFERROR(INDEX('Kano Matrix'!$B$5:$F$9,MATCH('Raw Responses'!P33,'Kano Matrix'!$A$5:$A$9,0),MATCH('Raw Responses'!Q33,'Kano Matrix'!$B$4:$F$4,0)),"Incomplete"))</f>
        <v>A</v>
      </c>
      <c r="J33" s="13" t="str">
        <f aca="false">IF(OR('Raw Responses'!R33="",'Raw Responses'!S33=""),"Incomplete",IFERROR(INDEX('Kano Matrix'!$B$5:$F$9,MATCH('Raw Responses'!R33,'Kano Matrix'!$A$5:$A$9,0),MATCH('Raw Responses'!S33,'Kano Matrix'!$B$4:$F$4,0)),"Incomplete"))</f>
        <v>Q</v>
      </c>
      <c r="K33" s="13" t="str">
        <f aca="false">IF(OR('Raw Responses'!T33="",'Raw Responses'!U33=""),"Incomplete",IFERROR(INDEX('Kano Matrix'!$B$5:$F$9,MATCH('Raw Responses'!T33,'Kano Matrix'!$A$5:$A$9,0),MATCH('Raw Responses'!U33,'Kano Matrix'!$B$4:$F$4,0)),"Incomplete"))</f>
        <v>A</v>
      </c>
    </row>
    <row r="34" customFormat="false" ht="15" hidden="false" customHeight="false" outlineLevel="0" collapsed="false">
      <c r="A34" s="4" t="str">
        <f aca="false">'Raw Responses'!A34</f>
        <v>2026/09/23 2:08:17 PM GMT+5</v>
      </c>
      <c r="B34" s="13" t="str">
        <f aca="false">IF(OR('Raw Responses'!B34="",'Raw Responses'!C34=""),"Incomplete",IFERROR(INDEX('Kano Matrix'!$B$5:$F$9,MATCH('Raw Responses'!B34,'Kano Matrix'!$A$5:$A$9,0),MATCH('Raw Responses'!C34,'Kano Matrix'!$B$4:$F$4,0)),"Incomplete"))</f>
        <v>A</v>
      </c>
      <c r="C34" s="13" t="str">
        <f aca="false">IF(OR('Raw Responses'!D34="",'Raw Responses'!E34=""),"Incomplete",IFERROR(INDEX('Kano Matrix'!$B$5:$F$9,MATCH('Raw Responses'!D34,'Kano Matrix'!$A$5:$A$9,0),MATCH('Raw Responses'!E34,'Kano Matrix'!$B$4:$F$4,0)),"Incomplete"))</f>
        <v>A</v>
      </c>
      <c r="D34" s="13" t="str">
        <f aca="false">IF(OR('Raw Responses'!F34="",'Raw Responses'!G34=""),"Incomplete",IFERROR(INDEX('Kano Matrix'!$B$5:$F$9,MATCH('Raw Responses'!F34,'Kano Matrix'!$A$5:$A$9,0),MATCH('Raw Responses'!G34,'Kano Matrix'!$B$4:$F$4,0)),"Incomplete"))</f>
        <v>A</v>
      </c>
      <c r="E34" s="13" t="str">
        <f aca="false">IF(OR('Raw Responses'!H34="",'Raw Responses'!I34=""),"Incomplete",IFERROR(INDEX('Kano Matrix'!$B$5:$F$9,MATCH('Raw Responses'!H34,'Kano Matrix'!$A$5:$A$9,0),MATCH('Raw Responses'!I34,'Kano Matrix'!$B$4:$F$4,0)),"Incomplete"))</f>
        <v>I</v>
      </c>
      <c r="F34" s="13" t="str">
        <f aca="false">IF(OR('Raw Responses'!J34="",'Raw Responses'!K34=""),"Incomplete",IFERROR(INDEX('Kano Matrix'!$B$5:$F$9,MATCH('Raw Responses'!J34,'Kano Matrix'!$A$5:$A$9,0),MATCH('Raw Responses'!K34,'Kano Matrix'!$B$4:$F$4,0)),"Incomplete"))</f>
        <v>R</v>
      </c>
      <c r="G34" s="13" t="str">
        <f aca="false">IF(OR('Raw Responses'!L34="",'Raw Responses'!M34=""),"Incomplete",IFERROR(INDEX('Kano Matrix'!$B$5:$F$9,MATCH('Raw Responses'!L34,'Kano Matrix'!$A$5:$A$9,0),MATCH('Raw Responses'!M34,'Kano Matrix'!$B$4:$F$4,0)),"Incomplete"))</f>
        <v>R</v>
      </c>
      <c r="H34" s="13" t="str">
        <f aca="false">IF(OR('Raw Responses'!N34="",'Raw Responses'!O34=""),"Incomplete",IFERROR(INDEX('Kano Matrix'!$B$5:$F$9,MATCH('Raw Responses'!N34,'Kano Matrix'!$A$5:$A$9,0),MATCH('Raw Responses'!O34,'Kano Matrix'!$B$4:$F$4,0)),"Incomplete"))</f>
        <v>A</v>
      </c>
      <c r="I34" s="13" t="str">
        <f aca="false">IF(OR('Raw Responses'!P34="",'Raw Responses'!Q34=""),"Incomplete",IFERROR(INDEX('Kano Matrix'!$B$5:$F$9,MATCH('Raw Responses'!P34,'Kano Matrix'!$A$5:$A$9,0),MATCH('Raw Responses'!Q34,'Kano Matrix'!$B$4:$F$4,0)),"Incomplete"))</f>
        <v>A</v>
      </c>
      <c r="J34" s="13" t="str">
        <f aca="false">IF(OR('Raw Responses'!R34="",'Raw Responses'!S34=""),"Incomplete",IFERROR(INDEX('Kano Matrix'!$B$5:$F$9,MATCH('Raw Responses'!R34,'Kano Matrix'!$A$5:$A$9,0),MATCH('Raw Responses'!S34,'Kano Matrix'!$B$4:$F$4,0)),"Incomplete"))</f>
        <v>A</v>
      </c>
      <c r="K34" s="13" t="str">
        <f aca="false">IF(OR('Raw Responses'!T34="",'Raw Responses'!U34=""),"Incomplete",IFERROR(INDEX('Kano Matrix'!$B$5:$F$9,MATCH('Raw Responses'!T34,'Kano Matrix'!$A$5:$A$9,0),MATCH('Raw Responses'!U34,'Kano Matrix'!$B$4:$F$4,0)),"Incomplete"))</f>
        <v>A</v>
      </c>
    </row>
    <row r="35" customFormat="false" ht="15" hidden="false" customHeight="false" outlineLevel="0" collapsed="false">
      <c r="A35" s="4" t="str">
        <f aca="false">'Raw Responses'!A35</f>
        <v>2026/09/23 2:10:51 PM GMT+5</v>
      </c>
      <c r="B35" s="13" t="str">
        <f aca="false">IF(OR('Raw Responses'!B35="",'Raw Responses'!C35=""),"Incomplete",IFERROR(INDEX('Kano Matrix'!$B$5:$F$9,MATCH('Raw Responses'!B35,'Kano Matrix'!$A$5:$A$9,0),MATCH('Raw Responses'!C35,'Kano Matrix'!$B$4:$F$4,0)),"Incomplete"))</f>
        <v>A</v>
      </c>
      <c r="C35" s="13" t="str">
        <f aca="false">IF(OR('Raw Responses'!D35="",'Raw Responses'!E35=""),"Incomplete",IFERROR(INDEX('Kano Matrix'!$B$5:$F$9,MATCH('Raw Responses'!D35,'Kano Matrix'!$A$5:$A$9,0),MATCH('Raw Responses'!E35,'Kano Matrix'!$B$4:$F$4,0)),"Incomplete"))</f>
        <v>M</v>
      </c>
      <c r="D35" s="13" t="str">
        <f aca="false">IF(OR('Raw Responses'!F35="",'Raw Responses'!G35=""),"Incomplete",IFERROR(INDEX('Kano Matrix'!$B$5:$F$9,MATCH('Raw Responses'!F35,'Kano Matrix'!$A$5:$A$9,0),MATCH('Raw Responses'!G35,'Kano Matrix'!$B$4:$F$4,0)),"Incomplete"))</f>
        <v>R</v>
      </c>
      <c r="E35" s="13" t="str">
        <f aca="false">IF(OR('Raw Responses'!H35="",'Raw Responses'!I35=""),"Incomplete",IFERROR(INDEX('Kano Matrix'!$B$5:$F$9,MATCH('Raw Responses'!H35,'Kano Matrix'!$A$5:$A$9,0),MATCH('Raw Responses'!I35,'Kano Matrix'!$B$4:$F$4,0)),"Incomplete"))</f>
        <v>A</v>
      </c>
      <c r="F35" s="13" t="str">
        <f aca="false">IF(OR('Raw Responses'!J35="",'Raw Responses'!K35=""),"Incomplete",IFERROR(INDEX('Kano Matrix'!$B$5:$F$9,MATCH('Raw Responses'!J35,'Kano Matrix'!$A$5:$A$9,0),MATCH('Raw Responses'!K35,'Kano Matrix'!$B$4:$F$4,0)),"Incomplete"))</f>
        <v>I</v>
      </c>
      <c r="G35" s="13" t="str">
        <f aca="false">IF(OR('Raw Responses'!L35="",'Raw Responses'!M35=""),"Incomplete",IFERROR(INDEX('Kano Matrix'!$B$5:$F$9,MATCH('Raw Responses'!L35,'Kano Matrix'!$A$5:$A$9,0),MATCH('Raw Responses'!M35,'Kano Matrix'!$B$4:$F$4,0)),"Incomplete"))</f>
        <v>A</v>
      </c>
      <c r="H35" s="13" t="str">
        <f aca="false">IF(OR('Raw Responses'!N35="",'Raw Responses'!O35=""),"Incomplete",IFERROR(INDEX('Kano Matrix'!$B$5:$F$9,MATCH('Raw Responses'!N35,'Kano Matrix'!$A$5:$A$9,0),MATCH('Raw Responses'!O35,'Kano Matrix'!$B$4:$F$4,0)),"Incomplete"))</f>
        <v>A</v>
      </c>
      <c r="I35" s="13" t="str">
        <f aca="false">IF(OR('Raw Responses'!P35="",'Raw Responses'!Q35=""),"Incomplete",IFERROR(INDEX('Kano Matrix'!$B$5:$F$9,MATCH('Raw Responses'!P35,'Kano Matrix'!$A$5:$A$9,0),MATCH('Raw Responses'!Q35,'Kano Matrix'!$B$4:$F$4,0)),"Incomplete"))</f>
        <v>M</v>
      </c>
      <c r="J35" s="13" t="str">
        <f aca="false">IF(OR('Raw Responses'!R35="",'Raw Responses'!S35=""),"Incomplete",IFERROR(INDEX('Kano Matrix'!$B$5:$F$9,MATCH('Raw Responses'!R35,'Kano Matrix'!$A$5:$A$9,0),MATCH('Raw Responses'!S35,'Kano Matrix'!$B$4:$F$4,0)),"Incomplete"))</f>
        <v>I</v>
      </c>
      <c r="K35" s="13" t="str">
        <f aca="false">IF(OR('Raw Responses'!T35="",'Raw Responses'!U35=""),"Incomplete",IFERROR(INDEX('Kano Matrix'!$B$5:$F$9,MATCH('Raw Responses'!T35,'Kano Matrix'!$A$5:$A$9,0),MATCH('Raw Responses'!U35,'Kano Matrix'!$B$4:$F$4,0)),"Incomplete"))</f>
        <v>I</v>
      </c>
    </row>
    <row r="36" customFormat="false" ht="15" hidden="false" customHeight="false" outlineLevel="0" collapsed="false">
      <c r="A36" s="4" t="str">
        <f aca="false">'Raw Responses'!A36</f>
        <v>2026/09/23 2:13:54 PM GMT+5</v>
      </c>
      <c r="B36" s="13" t="str">
        <f aca="false">IF(OR('Raw Responses'!B36="",'Raw Responses'!C36=""),"Incomplete",IFERROR(INDEX('Kano Matrix'!$B$5:$F$9,MATCH('Raw Responses'!B36,'Kano Matrix'!$A$5:$A$9,0),MATCH('Raw Responses'!C36,'Kano Matrix'!$B$4:$F$4,0)),"Incomplete"))</f>
        <v>A</v>
      </c>
      <c r="C36" s="13" t="str">
        <f aca="false">IF(OR('Raw Responses'!D36="",'Raw Responses'!E36=""),"Incomplete",IFERROR(INDEX('Kano Matrix'!$B$5:$F$9,MATCH('Raw Responses'!D36,'Kano Matrix'!$A$5:$A$9,0),MATCH('Raw Responses'!E36,'Kano Matrix'!$B$4:$F$4,0)),"Incomplete"))</f>
        <v>A</v>
      </c>
      <c r="D36" s="13" t="str">
        <f aca="false">IF(OR('Raw Responses'!F36="",'Raw Responses'!G36=""),"Incomplete",IFERROR(INDEX('Kano Matrix'!$B$5:$F$9,MATCH('Raw Responses'!F36,'Kano Matrix'!$A$5:$A$9,0),MATCH('Raw Responses'!G36,'Kano Matrix'!$B$4:$F$4,0)),"Incomplete"))</f>
        <v>O</v>
      </c>
      <c r="E36" s="13" t="str">
        <f aca="false">IF(OR('Raw Responses'!H36="",'Raw Responses'!I36=""),"Incomplete",IFERROR(INDEX('Kano Matrix'!$B$5:$F$9,MATCH('Raw Responses'!H36,'Kano Matrix'!$A$5:$A$9,0),MATCH('Raw Responses'!I36,'Kano Matrix'!$B$4:$F$4,0)),"Incomplete"))</f>
        <v>A</v>
      </c>
      <c r="F36" s="13" t="str">
        <f aca="false">IF(OR('Raw Responses'!J36="",'Raw Responses'!K36=""),"Incomplete",IFERROR(INDEX('Kano Matrix'!$B$5:$F$9,MATCH('Raw Responses'!J36,'Kano Matrix'!$A$5:$A$9,0),MATCH('Raw Responses'!K36,'Kano Matrix'!$B$4:$F$4,0)),"Incomplete"))</f>
        <v>A</v>
      </c>
      <c r="G36" s="13" t="str">
        <f aca="false">IF(OR('Raw Responses'!L36="",'Raw Responses'!M36=""),"Incomplete",IFERROR(INDEX('Kano Matrix'!$B$5:$F$9,MATCH('Raw Responses'!L36,'Kano Matrix'!$A$5:$A$9,0),MATCH('Raw Responses'!M36,'Kano Matrix'!$B$4:$F$4,0)),"Incomplete"))</f>
        <v>A</v>
      </c>
      <c r="H36" s="13" t="str">
        <f aca="false">IF(OR('Raw Responses'!N36="",'Raw Responses'!O36=""),"Incomplete",IFERROR(INDEX('Kano Matrix'!$B$5:$F$9,MATCH('Raw Responses'!N36,'Kano Matrix'!$A$5:$A$9,0),MATCH('Raw Responses'!O36,'Kano Matrix'!$B$4:$F$4,0)),"Incomplete"))</f>
        <v>I</v>
      </c>
      <c r="I36" s="13" t="str">
        <f aca="false">IF(OR('Raw Responses'!P36="",'Raw Responses'!Q36=""),"Incomplete",IFERROR(INDEX('Kano Matrix'!$B$5:$F$9,MATCH('Raw Responses'!P36,'Kano Matrix'!$A$5:$A$9,0),MATCH('Raw Responses'!Q36,'Kano Matrix'!$B$4:$F$4,0)),"Incomplete"))</f>
        <v>R</v>
      </c>
      <c r="J36" s="13" t="str">
        <f aca="false">IF(OR('Raw Responses'!R36="",'Raw Responses'!S36=""),"Incomplete",IFERROR(INDEX('Kano Matrix'!$B$5:$F$9,MATCH('Raw Responses'!R36,'Kano Matrix'!$A$5:$A$9,0),MATCH('Raw Responses'!S36,'Kano Matrix'!$B$4:$F$4,0)),"Incomplete"))</f>
        <v>R</v>
      </c>
      <c r="K36" s="13" t="str">
        <f aca="false">IF(OR('Raw Responses'!T36="",'Raw Responses'!U36=""),"Incomplete",IFERROR(INDEX('Kano Matrix'!$B$5:$F$9,MATCH('Raw Responses'!T36,'Kano Matrix'!$A$5:$A$9,0),MATCH('Raw Responses'!U36,'Kano Matrix'!$B$4:$F$4,0)),"Incomplete"))</f>
        <v>O</v>
      </c>
    </row>
    <row r="37" customFormat="false" ht="15" hidden="false" customHeight="false" outlineLevel="0" collapsed="false">
      <c r="A37" s="4" t="str">
        <f aca="false">'Raw Responses'!A37</f>
        <v>2026/09/23 2:22:20 PM GMT+5</v>
      </c>
      <c r="B37" s="13" t="str">
        <f aca="false">IF(OR('Raw Responses'!B37="",'Raw Responses'!C37=""),"Incomplete",IFERROR(INDEX('Kano Matrix'!$B$5:$F$9,MATCH('Raw Responses'!B37,'Kano Matrix'!$A$5:$A$9,0),MATCH('Raw Responses'!C37,'Kano Matrix'!$B$4:$F$4,0)),"Incomplete"))</f>
        <v>O</v>
      </c>
      <c r="C37" s="13" t="str">
        <f aca="false">IF(OR('Raw Responses'!D37="",'Raw Responses'!E37=""),"Incomplete",IFERROR(INDEX('Kano Matrix'!$B$5:$F$9,MATCH('Raw Responses'!D37,'Kano Matrix'!$A$5:$A$9,0),MATCH('Raw Responses'!E37,'Kano Matrix'!$B$4:$F$4,0)),"Incomplete"))</f>
        <v>A</v>
      </c>
      <c r="D37" s="13" t="str">
        <f aca="false">IF(OR('Raw Responses'!F37="",'Raw Responses'!G37=""),"Incomplete",IFERROR(INDEX('Kano Matrix'!$B$5:$F$9,MATCH('Raw Responses'!F37,'Kano Matrix'!$A$5:$A$9,0),MATCH('Raw Responses'!G37,'Kano Matrix'!$B$4:$F$4,0)),"Incomplete"))</f>
        <v>O</v>
      </c>
      <c r="E37" s="13" t="str">
        <f aca="false">IF(OR('Raw Responses'!H37="",'Raw Responses'!I37=""),"Incomplete",IFERROR(INDEX('Kano Matrix'!$B$5:$F$9,MATCH('Raw Responses'!H37,'Kano Matrix'!$A$5:$A$9,0),MATCH('Raw Responses'!I37,'Kano Matrix'!$B$4:$F$4,0)),"Incomplete"))</f>
        <v>O</v>
      </c>
      <c r="F37" s="13" t="str">
        <f aca="false">IF(OR('Raw Responses'!J37="",'Raw Responses'!K37=""),"Incomplete",IFERROR(INDEX('Kano Matrix'!$B$5:$F$9,MATCH('Raw Responses'!J37,'Kano Matrix'!$A$5:$A$9,0),MATCH('Raw Responses'!K37,'Kano Matrix'!$B$4:$F$4,0)),"Incomplete"))</f>
        <v>O</v>
      </c>
      <c r="G37" s="13" t="str">
        <f aca="false">IF(OR('Raw Responses'!L37="",'Raw Responses'!M37=""),"Incomplete",IFERROR(INDEX('Kano Matrix'!$B$5:$F$9,MATCH('Raw Responses'!L37,'Kano Matrix'!$A$5:$A$9,0),MATCH('Raw Responses'!M37,'Kano Matrix'!$B$4:$F$4,0)),"Incomplete"))</f>
        <v>I</v>
      </c>
      <c r="H37" s="13" t="str">
        <f aca="false">IF(OR('Raw Responses'!N37="",'Raw Responses'!O37=""),"Incomplete",IFERROR(INDEX('Kano Matrix'!$B$5:$F$9,MATCH('Raw Responses'!N37,'Kano Matrix'!$A$5:$A$9,0),MATCH('Raw Responses'!O37,'Kano Matrix'!$B$4:$F$4,0)),"Incomplete"))</f>
        <v>A</v>
      </c>
      <c r="I37" s="13" t="str">
        <f aca="false">IF(OR('Raw Responses'!P37="",'Raw Responses'!Q37=""),"Incomplete",IFERROR(INDEX('Kano Matrix'!$B$5:$F$9,MATCH('Raw Responses'!P37,'Kano Matrix'!$A$5:$A$9,0),MATCH('Raw Responses'!Q37,'Kano Matrix'!$B$4:$F$4,0)),"Incomplete"))</f>
        <v>A</v>
      </c>
      <c r="J37" s="13" t="str">
        <f aca="false">IF(OR('Raw Responses'!R37="",'Raw Responses'!S37=""),"Incomplete",IFERROR(INDEX('Kano Matrix'!$B$5:$F$9,MATCH('Raw Responses'!R37,'Kano Matrix'!$A$5:$A$9,0),MATCH('Raw Responses'!S37,'Kano Matrix'!$B$4:$F$4,0)),"Incomplete"))</f>
        <v>O</v>
      </c>
      <c r="K37" s="13" t="str">
        <f aca="false">IF(OR('Raw Responses'!T37="",'Raw Responses'!U37=""),"Incomplete",IFERROR(INDEX('Kano Matrix'!$B$5:$F$9,MATCH('Raw Responses'!T37,'Kano Matrix'!$A$5:$A$9,0),MATCH('Raw Responses'!U37,'Kano Matrix'!$B$4:$F$4,0)),"Incomplete"))</f>
        <v>O</v>
      </c>
    </row>
    <row r="38" customFormat="false" ht="15" hidden="false" customHeight="false" outlineLevel="0" collapsed="false">
      <c r="A38" s="4" t="str">
        <f aca="false">'Raw Responses'!A38</f>
        <v>2026/09/23 2:27:07 PM GMT+5</v>
      </c>
      <c r="B38" s="13" t="str">
        <f aca="false">IF(OR('Raw Responses'!B38="",'Raw Responses'!C38=""),"Incomplete",IFERROR(INDEX('Kano Matrix'!$B$5:$F$9,MATCH('Raw Responses'!B38,'Kano Matrix'!$A$5:$A$9,0),MATCH('Raw Responses'!C38,'Kano Matrix'!$B$4:$F$4,0)),"Incomplete"))</f>
        <v>Incomplete</v>
      </c>
      <c r="C38" s="13" t="str">
        <f aca="false">IF(OR('Raw Responses'!D38="",'Raw Responses'!E38=""),"Incomplete",IFERROR(INDEX('Kano Matrix'!$B$5:$F$9,MATCH('Raw Responses'!D38,'Kano Matrix'!$A$5:$A$9,0),MATCH('Raw Responses'!E38,'Kano Matrix'!$B$4:$F$4,0)),"Incomplete"))</f>
        <v>Incomplete</v>
      </c>
      <c r="D38" s="13" t="str">
        <f aca="false">IF(OR('Raw Responses'!F38="",'Raw Responses'!G38=""),"Incomplete",IFERROR(INDEX('Kano Matrix'!$B$5:$F$9,MATCH('Raw Responses'!F38,'Kano Matrix'!$A$5:$A$9,0),MATCH('Raw Responses'!G38,'Kano Matrix'!$B$4:$F$4,0)),"Incomplete"))</f>
        <v>Incomplete</v>
      </c>
      <c r="E38" s="13" t="str">
        <f aca="false">IF(OR('Raw Responses'!H38="",'Raw Responses'!I38=""),"Incomplete",IFERROR(INDEX('Kano Matrix'!$B$5:$F$9,MATCH('Raw Responses'!H38,'Kano Matrix'!$A$5:$A$9,0),MATCH('Raw Responses'!I38,'Kano Matrix'!$B$4:$F$4,0)),"Incomplete"))</f>
        <v>Incomplete</v>
      </c>
      <c r="F38" s="13" t="str">
        <f aca="false">IF(OR('Raw Responses'!J38="",'Raw Responses'!K38=""),"Incomplete",IFERROR(INDEX('Kano Matrix'!$B$5:$F$9,MATCH('Raw Responses'!J38,'Kano Matrix'!$A$5:$A$9,0),MATCH('Raw Responses'!K38,'Kano Matrix'!$B$4:$F$4,0)),"Incomplete"))</f>
        <v>Incomplete</v>
      </c>
      <c r="G38" s="13" t="str">
        <f aca="false">IF(OR('Raw Responses'!L38="",'Raw Responses'!M38=""),"Incomplete",IFERROR(INDEX('Kano Matrix'!$B$5:$F$9,MATCH('Raw Responses'!L38,'Kano Matrix'!$A$5:$A$9,0),MATCH('Raw Responses'!M38,'Kano Matrix'!$B$4:$F$4,0)),"Incomplete"))</f>
        <v>Incomplete</v>
      </c>
      <c r="H38" s="13" t="str">
        <f aca="false">IF(OR('Raw Responses'!N38="",'Raw Responses'!O38=""),"Incomplete",IFERROR(INDEX('Kano Matrix'!$B$5:$F$9,MATCH('Raw Responses'!N38,'Kano Matrix'!$A$5:$A$9,0),MATCH('Raw Responses'!O38,'Kano Matrix'!$B$4:$F$4,0)),"Incomplete"))</f>
        <v>Incomplete</v>
      </c>
      <c r="I38" s="13" t="str">
        <f aca="false">IF(OR('Raw Responses'!P38="",'Raw Responses'!Q38=""),"Incomplete",IFERROR(INDEX('Kano Matrix'!$B$5:$F$9,MATCH('Raw Responses'!P38,'Kano Matrix'!$A$5:$A$9,0),MATCH('Raw Responses'!Q38,'Kano Matrix'!$B$4:$F$4,0)),"Incomplete"))</f>
        <v>Incomplete</v>
      </c>
      <c r="J38" s="13" t="str">
        <f aca="false">IF(OR('Raw Responses'!R38="",'Raw Responses'!S38=""),"Incomplete",IFERROR(INDEX('Kano Matrix'!$B$5:$F$9,MATCH('Raw Responses'!R38,'Kano Matrix'!$A$5:$A$9,0),MATCH('Raw Responses'!S38,'Kano Matrix'!$B$4:$F$4,0)),"Incomplete"))</f>
        <v>Incomplete</v>
      </c>
      <c r="K38" s="13" t="str">
        <f aca="false">IF(OR('Raw Responses'!T38="",'Raw Responses'!U38=""),"Incomplete",IFERROR(INDEX('Kano Matrix'!$B$5:$F$9,MATCH('Raw Responses'!T38,'Kano Matrix'!$A$5:$A$9,0),MATCH('Raw Responses'!U38,'Kano Matrix'!$B$4:$F$4,0)),"Incomplete"))</f>
        <v>Incomplete</v>
      </c>
    </row>
    <row r="39" customFormat="false" ht="15" hidden="false" customHeight="false" outlineLevel="0" collapsed="false">
      <c r="A39" s="4" t="str">
        <f aca="false">'Raw Responses'!A39</f>
        <v>2026/09/23 3:02:41 PM GMT+5</v>
      </c>
      <c r="B39" s="13" t="str">
        <f aca="false">IF(OR('Raw Responses'!B39="",'Raw Responses'!C39=""),"Incomplete",IFERROR(INDEX('Kano Matrix'!$B$5:$F$9,MATCH('Raw Responses'!B39,'Kano Matrix'!$A$5:$A$9,0),MATCH('Raw Responses'!C39,'Kano Matrix'!$B$4:$F$4,0)),"Incomplete"))</f>
        <v>O</v>
      </c>
      <c r="C39" s="13" t="str">
        <f aca="false">IF(OR('Raw Responses'!D39="",'Raw Responses'!E39=""),"Incomplete",IFERROR(INDEX('Kano Matrix'!$B$5:$F$9,MATCH('Raw Responses'!D39,'Kano Matrix'!$A$5:$A$9,0),MATCH('Raw Responses'!E39,'Kano Matrix'!$B$4:$F$4,0)),"Incomplete"))</f>
        <v>A</v>
      </c>
      <c r="D39" s="13" t="str">
        <f aca="false">IF(OR('Raw Responses'!F39="",'Raw Responses'!G39=""),"Incomplete",IFERROR(INDEX('Kano Matrix'!$B$5:$F$9,MATCH('Raw Responses'!F39,'Kano Matrix'!$A$5:$A$9,0),MATCH('Raw Responses'!G39,'Kano Matrix'!$B$4:$F$4,0)),"Incomplete"))</f>
        <v>A</v>
      </c>
      <c r="E39" s="13" t="str">
        <f aca="false">IF(OR('Raw Responses'!H39="",'Raw Responses'!I39=""),"Incomplete",IFERROR(INDEX('Kano Matrix'!$B$5:$F$9,MATCH('Raw Responses'!H39,'Kano Matrix'!$A$5:$A$9,0),MATCH('Raw Responses'!I39,'Kano Matrix'!$B$4:$F$4,0)),"Incomplete"))</f>
        <v>A</v>
      </c>
      <c r="F39" s="13" t="str">
        <f aca="false">IF(OR('Raw Responses'!J39="",'Raw Responses'!K39=""),"Incomplete",IFERROR(INDEX('Kano Matrix'!$B$5:$F$9,MATCH('Raw Responses'!J39,'Kano Matrix'!$A$5:$A$9,0),MATCH('Raw Responses'!K39,'Kano Matrix'!$B$4:$F$4,0)),"Incomplete"))</f>
        <v>A</v>
      </c>
      <c r="G39" s="13" t="str">
        <f aca="false">IF(OR('Raw Responses'!L39="",'Raw Responses'!M39=""),"Incomplete",IFERROR(INDEX('Kano Matrix'!$B$5:$F$9,MATCH('Raw Responses'!L39,'Kano Matrix'!$A$5:$A$9,0),MATCH('Raw Responses'!M39,'Kano Matrix'!$B$4:$F$4,0)),"Incomplete"))</f>
        <v>A</v>
      </c>
      <c r="H39" s="13" t="str">
        <f aca="false">IF(OR('Raw Responses'!N39="",'Raw Responses'!O39=""),"Incomplete",IFERROR(INDEX('Kano Matrix'!$B$5:$F$9,MATCH('Raw Responses'!N39,'Kano Matrix'!$A$5:$A$9,0),MATCH('Raw Responses'!O39,'Kano Matrix'!$B$4:$F$4,0)),"Incomplete"))</f>
        <v>O</v>
      </c>
      <c r="I39" s="13" t="str">
        <f aca="false">IF(OR('Raw Responses'!P39="",'Raw Responses'!Q39=""),"Incomplete",IFERROR(INDEX('Kano Matrix'!$B$5:$F$9,MATCH('Raw Responses'!P39,'Kano Matrix'!$A$5:$A$9,0),MATCH('Raw Responses'!Q39,'Kano Matrix'!$B$4:$F$4,0)),"Incomplete"))</f>
        <v>A</v>
      </c>
      <c r="J39" s="13" t="str">
        <f aca="false">IF(OR('Raw Responses'!R39="",'Raw Responses'!S39=""),"Incomplete",IFERROR(INDEX('Kano Matrix'!$B$5:$F$9,MATCH('Raw Responses'!R39,'Kano Matrix'!$A$5:$A$9,0),MATCH('Raw Responses'!S39,'Kano Matrix'!$B$4:$F$4,0)),"Incomplete"))</f>
        <v>A</v>
      </c>
      <c r="K39" s="13" t="str">
        <f aca="false">IF(OR('Raw Responses'!T39="",'Raw Responses'!U39=""),"Incomplete",IFERROR(INDEX('Kano Matrix'!$B$5:$F$9,MATCH('Raw Responses'!T39,'Kano Matrix'!$A$5:$A$9,0),MATCH('Raw Responses'!U39,'Kano Matrix'!$B$4:$F$4,0)),"Incomplete"))</f>
        <v>A</v>
      </c>
    </row>
    <row r="40" customFormat="false" ht="15" hidden="false" customHeight="false" outlineLevel="0" collapsed="false">
      <c r="A40" s="4" t="str">
        <f aca="false">'Raw Responses'!A40</f>
        <v>2026/09/23 3:09:58 PM GMT+5</v>
      </c>
      <c r="B40" s="13" t="str">
        <f aca="false">IF(OR('Raw Responses'!B40="",'Raw Responses'!C40=""),"Incomplete",IFERROR(INDEX('Kano Matrix'!$B$5:$F$9,MATCH('Raw Responses'!B40,'Kano Matrix'!$A$5:$A$9,0),MATCH('Raw Responses'!C40,'Kano Matrix'!$B$4:$F$4,0)),"Incomplete"))</f>
        <v>O</v>
      </c>
      <c r="C40" s="13" t="str">
        <f aca="false">IF(OR('Raw Responses'!D40="",'Raw Responses'!E40=""),"Incomplete",IFERROR(INDEX('Kano Matrix'!$B$5:$F$9,MATCH('Raw Responses'!D40,'Kano Matrix'!$A$5:$A$9,0),MATCH('Raw Responses'!E40,'Kano Matrix'!$B$4:$F$4,0)),"Incomplete"))</f>
        <v>M</v>
      </c>
      <c r="D40" s="13" t="str">
        <f aca="false">IF(OR('Raw Responses'!F40="",'Raw Responses'!G40=""),"Incomplete",IFERROR(INDEX('Kano Matrix'!$B$5:$F$9,MATCH('Raw Responses'!F40,'Kano Matrix'!$A$5:$A$9,0),MATCH('Raw Responses'!G40,'Kano Matrix'!$B$4:$F$4,0)),"Incomplete"))</f>
        <v>M</v>
      </c>
      <c r="E40" s="13" t="str">
        <f aca="false">IF(OR('Raw Responses'!H40="",'Raw Responses'!I40=""),"Incomplete",IFERROR(INDEX('Kano Matrix'!$B$5:$F$9,MATCH('Raw Responses'!H40,'Kano Matrix'!$A$5:$A$9,0),MATCH('Raw Responses'!I40,'Kano Matrix'!$B$4:$F$4,0)),"Incomplete"))</f>
        <v>O</v>
      </c>
      <c r="F40" s="13" t="str">
        <f aca="false">IF(OR('Raw Responses'!J40="",'Raw Responses'!K40=""),"Incomplete",IFERROR(INDEX('Kano Matrix'!$B$5:$F$9,MATCH('Raw Responses'!J40,'Kano Matrix'!$A$5:$A$9,0),MATCH('Raw Responses'!K40,'Kano Matrix'!$B$4:$F$4,0)),"Incomplete"))</f>
        <v>A</v>
      </c>
      <c r="G40" s="13" t="str">
        <f aca="false">IF(OR('Raw Responses'!L40="",'Raw Responses'!M40=""),"Incomplete",IFERROR(INDEX('Kano Matrix'!$B$5:$F$9,MATCH('Raw Responses'!L40,'Kano Matrix'!$A$5:$A$9,0),MATCH('Raw Responses'!M40,'Kano Matrix'!$B$4:$F$4,0)),"Incomplete"))</f>
        <v>I</v>
      </c>
      <c r="H40" s="13" t="str">
        <f aca="false">IF(OR('Raw Responses'!N40="",'Raw Responses'!O40=""),"Incomplete",IFERROR(INDEX('Kano Matrix'!$B$5:$F$9,MATCH('Raw Responses'!N40,'Kano Matrix'!$A$5:$A$9,0),MATCH('Raw Responses'!O40,'Kano Matrix'!$B$4:$F$4,0)),"Incomplete"))</f>
        <v>M</v>
      </c>
      <c r="I40" s="13" t="str">
        <f aca="false">IF(OR('Raw Responses'!P40="",'Raw Responses'!Q40=""),"Incomplete",IFERROR(INDEX('Kano Matrix'!$B$5:$F$9,MATCH('Raw Responses'!P40,'Kano Matrix'!$A$5:$A$9,0),MATCH('Raw Responses'!Q40,'Kano Matrix'!$B$4:$F$4,0)),"Incomplete"))</f>
        <v>O</v>
      </c>
      <c r="J40" s="13" t="str">
        <f aca="false">IF(OR('Raw Responses'!R40="",'Raw Responses'!S40=""),"Incomplete",IFERROR(INDEX('Kano Matrix'!$B$5:$F$9,MATCH('Raw Responses'!R40,'Kano Matrix'!$A$5:$A$9,0),MATCH('Raw Responses'!S40,'Kano Matrix'!$B$4:$F$4,0)),"Incomplete"))</f>
        <v>M</v>
      </c>
      <c r="K40" s="13" t="str">
        <f aca="false">IF(OR('Raw Responses'!T40="",'Raw Responses'!U40=""),"Incomplete",IFERROR(INDEX('Kano Matrix'!$B$5:$F$9,MATCH('Raw Responses'!T40,'Kano Matrix'!$A$5:$A$9,0),MATCH('Raw Responses'!U40,'Kano Matrix'!$B$4:$F$4,0)),"Incomplete"))</f>
        <v>M</v>
      </c>
    </row>
    <row r="41" customFormat="false" ht="15" hidden="false" customHeight="false" outlineLevel="0" collapsed="false">
      <c r="A41" s="4" t="str">
        <f aca="false">'Raw Responses'!A41</f>
        <v>2026/09/23 3:37:41 PM GMT+5</v>
      </c>
      <c r="B41" s="13" t="str">
        <f aca="false">IF(OR('Raw Responses'!B41="",'Raw Responses'!C41=""),"Incomplete",IFERROR(INDEX('Kano Matrix'!$B$5:$F$9,MATCH('Raw Responses'!B41,'Kano Matrix'!$A$5:$A$9,0),MATCH('Raw Responses'!C41,'Kano Matrix'!$B$4:$F$4,0)),"Incomplete"))</f>
        <v>A</v>
      </c>
      <c r="C41" s="13" t="str">
        <f aca="false">IF(OR('Raw Responses'!D41="",'Raw Responses'!E41=""),"Incomplete",IFERROR(INDEX('Kano Matrix'!$B$5:$F$9,MATCH('Raw Responses'!D41,'Kano Matrix'!$A$5:$A$9,0),MATCH('Raw Responses'!E41,'Kano Matrix'!$B$4:$F$4,0)),"Incomplete"))</f>
        <v>A</v>
      </c>
      <c r="D41" s="13" t="str">
        <f aca="false">IF(OR('Raw Responses'!F41="",'Raw Responses'!G41=""),"Incomplete",IFERROR(INDEX('Kano Matrix'!$B$5:$F$9,MATCH('Raw Responses'!F41,'Kano Matrix'!$A$5:$A$9,0),MATCH('Raw Responses'!G41,'Kano Matrix'!$B$4:$F$4,0)),"Incomplete"))</f>
        <v>I</v>
      </c>
      <c r="E41" s="13" t="str">
        <f aca="false">IF(OR('Raw Responses'!H41="",'Raw Responses'!I41=""),"Incomplete",IFERROR(INDEX('Kano Matrix'!$B$5:$F$9,MATCH('Raw Responses'!H41,'Kano Matrix'!$A$5:$A$9,0),MATCH('Raw Responses'!I41,'Kano Matrix'!$B$4:$F$4,0)),"Incomplete"))</f>
        <v>I</v>
      </c>
      <c r="F41" s="13" t="str">
        <f aca="false">IF(OR('Raw Responses'!J41="",'Raw Responses'!K41=""),"Incomplete",IFERROR(INDEX('Kano Matrix'!$B$5:$F$9,MATCH('Raw Responses'!J41,'Kano Matrix'!$A$5:$A$9,0),MATCH('Raw Responses'!K41,'Kano Matrix'!$B$4:$F$4,0)),"Incomplete"))</f>
        <v>R</v>
      </c>
      <c r="G41" s="13" t="str">
        <f aca="false">IF(OR('Raw Responses'!L41="",'Raw Responses'!M41=""),"Incomplete",IFERROR(INDEX('Kano Matrix'!$B$5:$F$9,MATCH('Raw Responses'!L41,'Kano Matrix'!$A$5:$A$9,0),MATCH('Raw Responses'!M41,'Kano Matrix'!$B$4:$F$4,0)),"Incomplete"))</f>
        <v>O</v>
      </c>
      <c r="H41" s="13" t="str">
        <f aca="false">IF(OR('Raw Responses'!N41="",'Raw Responses'!O41=""),"Incomplete",IFERROR(INDEX('Kano Matrix'!$B$5:$F$9,MATCH('Raw Responses'!N41,'Kano Matrix'!$A$5:$A$9,0),MATCH('Raw Responses'!O41,'Kano Matrix'!$B$4:$F$4,0)),"Incomplete"))</f>
        <v>O</v>
      </c>
      <c r="I41" s="13" t="str">
        <f aca="false">IF(OR('Raw Responses'!P41="",'Raw Responses'!Q41=""),"Incomplete",IFERROR(INDEX('Kano Matrix'!$B$5:$F$9,MATCH('Raw Responses'!P41,'Kano Matrix'!$A$5:$A$9,0),MATCH('Raw Responses'!Q41,'Kano Matrix'!$B$4:$F$4,0)),"Incomplete"))</f>
        <v>O</v>
      </c>
      <c r="J41" s="13" t="str">
        <f aca="false">IF(OR('Raw Responses'!R41="",'Raw Responses'!S41=""),"Incomplete",IFERROR(INDEX('Kano Matrix'!$B$5:$F$9,MATCH('Raw Responses'!R41,'Kano Matrix'!$A$5:$A$9,0),MATCH('Raw Responses'!S41,'Kano Matrix'!$B$4:$F$4,0)),"Incomplete"))</f>
        <v>I</v>
      </c>
      <c r="K41" s="13" t="str">
        <f aca="false">IF(OR('Raw Responses'!T41="",'Raw Responses'!U41=""),"Incomplete",IFERROR(INDEX('Kano Matrix'!$B$5:$F$9,MATCH('Raw Responses'!T41,'Kano Matrix'!$A$5:$A$9,0),MATCH('Raw Responses'!U41,'Kano Matrix'!$B$4:$F$4,0)),"Incomplete"))</f>
        <v>O</v>
      </c>
    </row>
    <row r="42" customFormat="false" ht="15" hidden="false" customHeight="false" outlineLevel="0" collapsed="false">
      <c r="A42" s="4" t="str">
        <f aca="false">'Raw Responses'!A42</f>
        <v>2026/09/23 4:53:49 PM GMT+5</v>
      </c>
      <c r="B42" s="13" t="str">
        <f aca="false">IF(OR('Raw Responses'!B42="",'Raw Responses'!C42=""),"Incomplete",IFERROR(INDEX('Kano Matrix'!$B$5:$F$9,MATCH('Raw Responses'!B42,'Kano Matrix'!$A$5:$A$9,0),MATCH('Raw Responses'!C42,'Kano Matrix'!$B$4:$F$4,0)),"Incomplete"))</f>
        <v>A</v>
      </c>
      <c r="C42" s="13" t="str">
        <f aca="false">IF(OR('Raw Responses'!D42="",'Raw Responses'!E42=""),"Incomplete",IFERROR(INDEX('Kano Matrix'!$B$5:$F$9,MATCH('Raw Responses'!D42,'Kano Matrix'!$A$5:$A$9,0),MATCH('Raw Responses'!E42,'Kano Matrix'!$B$4:$F$4,0)),"Incomplete"))</f>
        <v>A</v>
      </c>
      <c r="D42" s="13" t="str">
        <f aca="false">IF(OR('Raw Responses'!F42="",'Raw Responses'!G42=""),"Incomplete",IFERROR(INDEX('Kano Matrix'!$B$5:$F$9,MATCH('Raw Responses'!F42,'Kano Matrix'!$A$5:$A$9,0),MATCH('Raw Responses'!G42,'Kano Matrix'!$B$4:$F$4,0)),"Incomplete"))</f>
        <v>M</v>
      </c>
      <c r="E42" s="13" t="str">
        <f aca="false">IF(OR('Raw Responses'!H42="",'Raw Responses'!I42=""),"Incomplete",IFERROR(INDEX('Kano Matrix'!$B$5:$F$9,MATCH('Raw Responses'!H42,'Kano Matrix'!$A$5:$A$9,0),MATCH('Raw Responses'!I42,'Kano Matrix'!$B$4:$F$4,0)),"Incomplete"))</f>
        <v>I</v>
      </c>
      <c r="F42" s="13" t="str">
        <f aca="false">IF(OR('Raw Responses'!J42="",'Raw Responses'!K42=""),"Incomplete",IFERROR(INDEX('Kano Matrix'!$B$5:$F$9,MATCH('Raw Responses'!J42,'Kano Matrix'!$A$5:$A$9,0),MATCH('Raw Responses'!K42,'Kano Matrix'!$B$4:$F$4,0)),"Incomplete"))</f>
        <v>A</v>
      </c>
      <c r="G42" s="13" t="str">
        <f aca="false">IF(OR('Raw Responses'!L42="",'Raw Responses'!M42=""),"Incomplete",IFERROR(INDEX('Kano Matrix'!$B$5:$F$9,MATCH('Raw Responses'!L42,'Kano Matrix'!$A$5:$A$9,0),MATCH('Raw Responses'!M42,'Kano Matrix'!$B$4:$F$4,0)),"Incomplete"))</f>
        <v>I</v>
      </c>
      <c r="H42" s="13" t="str">
        <f aca="false">IF(OR('Raw Responses'!N42="",'Raw Responses'!O42=""),"Incomplete",IFERROR(INDEX('Kano Matrix'!$B$5:$F$9,MATCH('Raw Responses'!N42,'Kano Matrix'!$A$5:$A$9,0),MATCH('Raw Responses'!O42,'Kano Matrix'!$B$4:$F$4,0)),"Incomplete"))</f>
        <v>A</v>
      </c>
      <c r="I42" s="13" t="str">
        <f aca="false">IF(OR('Raw Responses'!P42="",'Raw Responses'!Q42=""),"Incomplete",IFERROR(INDEX('Kano Matrix'!$B$5:$F$9,MATCH('Raw Responses'!P42,'Kano Matrix'!$A$5:$A$9,0),MATCH('Raw Responses'!Q42,'Kano Matrix'!$B$4:$F$4,0)),"Incomplete"))</f>
        <v>O</v>
      </c>
      <c r="J42" s="13" t="str">
        <f aca="false">IF(OR('Raw Responses'!R42="",'Raw Responses'!S42=""),"Incomplete",IFERROR(INDEX('Kano Matrix'!$B$5:$F$9,MATCH('Raw Responses'!R42,'Kano Matrix'!$A$5:$A$9,0),MATCH('Raw Responses'!S42,'Kano Matrix'!$B$4:$F$4,0)),"Incomplete"))</f>
        <v>O</v>
      </c>
      <c r="K42" s="13" t="str">
        <f aca="false">IF(OR('Raw Responses'!T42="",'Raw Responses'!U42=""),"Incomplete",IFERROR(INDEX('Kano Matrix'!$B$5:$F$9,MATCH('Raw Responses'!T42,'Kano Matrix'!$A$5:$A$9,0),MATCH('Raw Responses'!U42,'Kano Matrix'!$B$4:$F$4,0)),"Incomplete"))</f>
        <v>O</v>
      </c>
    </row>
    <row r="43" customFormat="false" ht="15" hidden="false" customHeight="false" outlineLevel="0" collapsed="false">
      <c r="A43" s="4" t="str">
        <f aca="false">'Raw Responses'!A43</f>
        <v>2026/09/23 7:00:38 PM GMT+5</v>
      </c>
      <c r="B43" s="13" t="str">
        <f aca="false">IF(OR('Raw Responses'!B43="",'Raw Responses'!C43=""),"Incomplete",IFERROR(INDEX('Kano Matrix'!$B$5:$F$9,MATCH('Raw Responses'!B43,'Kano Matrix'!$A$5:$A$9,0),MATCH('Raw Responses'!C43,'Kano Matrix'!$B$4:$F$4,0)),"Incomplete"))</f>
        <v>A</v>
      </c>
      <c r="C43" s="13" t="str">
        <f aca="false">IF(OR('Raw Responses'!D43="",'Raw Responses'!E43=""),"Incomplete",IFERROR(INDEX('Kano Matrix'!$B$5:$F$9,MATCH('Raw Responses'!D43,'Kano Matrix'!$A$5:$A$9,0),MATCH('Raw Responses'!E43,'Kano Matrix'!$B$4:$F$4,0)),"Incomplete"))</f>
        <v>O</v>
      </c>
      <c r="D43" s="13" t="str">
        <f aca="false">IF(OR('Raw Responses'!F43="",'Raw Responses'!G43=""),"Incomplete",IFERROR(INDEX('Kano Matrix'!$B$5:$F$9,MATCH('Raw Responses'!F43,'Kano Matrix'!$A$5:$A$9,0),MATCH('Raw Responses'!G43,'Kano Matrix'!$B$4:$F$4,0)),"Incomplete"))</f>
        <v>O</v>
      </c>
      <c r="E43" s="13" t="str">
        <f aca="false">IF(OR('Raw Responses'!H43="",'Raw Responses'!I43=""),"Incomplete",IFERROR(INDEX('Kano Matrix'!$B$5:$F$9,MATCH('Raw Responses'!H43,'Kano Matrix'!$A$5:$A$9,0),MATCH('Raw Responses'!I43,'Kano Matrix'!$B$4:$F$4,0)),"Incomplete"))</f>
        <v>O</v>
      </c>
      <c r="F43" s="13" t="str">
        <f aca="false">IF(OR('Raw Responses'!J43="",'Raw Responses'!K43=""),"Incomplete",IFERROR(INDEX('Kano Matrix'!$B$5:$F$9,MATCH('Raw Responses'!J43,'Kano Matrix'!$A$5:$A$9,0),MATCH('Raw Responses'!K43,'Kano Matrix'!$B$4:$F$4,0)),"Incomplete"))</f>
        <v>O</v>
      </c>
      <c r="G43" s="13" t="str">
        <f aca="false">IF(OR('Raw Responses'!L43="",'Raw Responses'!M43=""),"Incomplete",IFERROR(INDEX('Kano Matrix'!$B$5:$F$9,MATCH('Raw Responses'!L43,'Kano Matrix'!$A$5:$A$9,0),MATCH('Raw Responses'!M43,'Kano Matrix'!$B$4:$F$4,0)),"Incomplete"))</f>
        <v>O</v>
      </c>
      <c r="H43" s="13" t="str">
        <f aca="false">IF(OR('Raw Responses'!N43="",'Raw Responses'!O43=""),"Incomplete",IFERROR(INDEX('Kano Matrix'!$B$5:$F$9,MATCH('Raw Responses'!N43,'Kano Matrix'!$A$5:$A$9,0),MATCH('Raw Responses'!O43,'Kano Matrix'!$B$4:$F$4,0)),"Incomplete"))</f>
        <v>O</v>
      </c>
      <c r="I43" s="13" t="str">
        <f aca="false">IF(OR('Raw Responses'!P43="",'Raw Responses'!Q43=""),"Incomplete",IFERROR(INDEX('Kano Matrix'!$B$5:$F$9,MATCH('Raw Responses'!P43,'Kano Matrix'!$A$5:$A$9,0),MATCH('Raw Responses'!Q43,'Kano Matrix'!$B$4:$F$4,0)),"Incomplete"))</f>
        <v>O</v>
      </c>
      <c r="J43" s="13" t="str">
        <f aca="false">IF(OR('Raw Responses'!R43="",'Raw Responses'!S43=""),"Incomplete",IFERROR(INDEX('Kano Matrix'!$B$5:$F$9,MATCH('Raw Responses'!R43,'Kano Matrix'!$A$5:$A$9,0),MATCH('Raw Responses'!S43,'Kano Matrix'!$B$4:$F$4,0)),"Incomplete"))</f>
        <v>O</v>
      </c>
      <c r="K43" s="13" t="str">
        <f aca="false">IF(OR('Raw Responses'!T43="",'Raw Responses'!U43=""),"Incomplete",IFERROR(INDEX('Kano Matrix'!$B$5:$F$9,MATCH('Raw Responses'!T43,'Kano Matrix'!$A$5:$A$9,0),MATCH('Raw Responses'!U43,'Kano Matrix'!$B$4:$F$4,0)),"Incomplete"))</f>
        <v>O</v>
      </c>
    </row>
    <row r="44" customFormat="false" ht="15" hidden="false" customHeight="false" outlineLevel="0" collapsed="false">
      <c r="A44" s="4" t="str">
        <f aca="false">'Raw Responses'!A44</f>
        <v>2026/09/23 7:51:54 PM GMT+5</v>
      </c>
      <c r="B44" s="13" t="str">
        <f aca="false">IF(OR('Raw Responses'!B44="",'Raw Responses'!C44=""),"Incomplete",IFERROR(INDEX('Kano Matrix'!$B$5:$F$9,MATCH('Raw Responses'!B44,'Kano Matrix'!$A$5:$A$9,0),MATCH('Raw Responses'!C44,'Kano Matrix'!$B$4:$F$4,0)),"Incomplete"))</f>
        <v>O</v>
      </c>
      <c r="C44" s="13" t="str">
        <f aca="false">IF(OR('Raw Responses'!D44="",'Raw Responses'!E44=""),"Incomplete",IFERROR(INDEX('Kano Matrix'!$B$5:$F$9,MATCH('Raw Responses'!D44,'Kano Matrix'!$A$5:$A$9,0),MATCH('Raw Responses'!E44,'Kano Matrix'!$B$4:$F$4,0)),"Incomplete"))</f>
        <v>O</v>
      </c>
      <c r="D44" s="13" t="str">
        <f aca="false">IF(OR('Raw Responses'!F44="",'Raw Responses'!G44=""),"Incomplete",IFERROR(INDEX('Kano Matrix'!$B$5:$F$9,MATCH('Raw Responses'!F44,'Kano Matrix'!$A$5:$A$9,0),MATCH('Raw Responses'!G44,'Kano Matrix'!$B$4:$F$4,0)),"Incomplete"))</f>
        <v>M</v>
      </c>
      <c r="E44" s="13" t="str">
        <f aca="false">IF(OR('Raw Responses'!H44="",'Raw Responses'!I44=""),"Incomplete",IFERROR(INDEX('Kano Matrix'!$B$5:$F$9,MATCH('Raw Responses'!H44,'Kano Matrix'!$A$5:$A$9,0),MATCH('Raw Responses'!I44,'Kano Matrix'!$B$4:$F$4,0)),"Incomplete"))</f>
        <v>O</v>
      </c>
      <c r="F44" s="13" t="str">
        <f aca="false">IF(OR('Raw Responses'!J44="",'Raw Responses'!K44=""),"Incomplete",IFERROR(INDEX('Kano Matrix'!$B$5:$F$9,MATCH('Raw Responses'!J44,'Kano Matrix'!$A$5:$A$9,0),MATCH('Raw Responses'!K44,'Kano Matrix'!$B$4:$F$4,0)),"Incomplete"))</f>
        <v>O</v>
      </c>
      <c r="G44" s="13" t="str">
        <f aca="false">IF(OR('Raw Responses'!L44="",'Raw Responses'!M44=""),"Incomplete",IFERROR(INDEX('Kano Matrix'!$B$5:$F$9,MATCH('Raw Responses'!L44,'Kano Matrix'!$A$5:$A$9,0),MATCH('Raw Responses'!M44,'Kano Matrix'!$B$4:$F$4,0)),"Incomplete"))</f>
        <v>I</v>
      </c>
      <c r="H44" s="13" t="str">
        <f aca="false">IF(OR('Raw Responses'!N44="",'Raw Responses'!O44=""),"Incomplete",IFERROR(INDEX('Kano Matrix'!$B$5:$F$9,MATCH('Raw Responses'!N44,'Kano Matrix'!$A$5:$A$9,0),MATCH('Raw Responses'!O44,'Kano Matrix'!$B$4:$F$4,0)),"Incomplete"))</f>
        <v>M</v>
      </c>
      <c r="I44" s="13" t="str">
        <f aca="false">IF(OR('Raw Responses'!P44="",'Raw Responses'!Q44=""),"Incomplete",IFERROR(INDEX('Kano Matrix'!$B$5:$F$9,MATCH('Raw Responses'!P44,'Kano Matrix'!$A$5:$A$9,0),MATCH('Raw Responses'!Q44,'Kano Matrix'!$B$4:$F$4,0)),"Incomplete"))</f>
        <v>I</v>
      </c>
      <c r="J44" s="13" t="str">
        <f aca="false">IF(OR('Raw Responses'!R44="",'Raw Responses'!S44=""),"Incomplete",IFERROR(INDEX('Kano Matrix'!$B$5:$F$9,MATCH('Raw Responses'!R44,'Kano Matrix'!$A$5:$A$9,0),MATCH('Raw Responses'!S44,'Kano Matrix'!$B$4:$F$4,0)),"Incomplete"))</f>
        <v>M</v>
      </c>
      <c r="K44" s="13" t="str">
        <f aca="false">IF(OR('Raw Responses'!T44="",'Raw Responses'!U44=""),"Incomplete",IFERROR(INDEX('Kano Matrix'!$B$5:$F$9,MATCH('Raw Responses'!T44,'Kano Matrix'!$A$5:$A$9,0),MATCH('Raw Responses'!U44,'Kano Matrix'!$B$4:$F$4,0)),"Incomplete"))</f>
        <v>M</v>
      </c>
    </row>
  </sheetData>
  <mergeCells count="2">
    <mergeCell ref="A1:F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9" min="2" style="0" width="10"/>
    <col collapsed="false" customWidth="true" hidden="false" outlineLevel="0" max="10" min="10" style="0" width="12"/>
  </cols>
  <sheetData>
    <row r="1" customFormat="false" ht="16.15" hidden="false" customHeight="false" outlineLevel="0" collapsed="false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8.35" hidden="false" customHeight="false" outlineLevel="0" collapsed="false">
      <c r="A4" s="3" t="s">
        <v>92</v>
      </c>
      <c r="B4" s="3" t="s">
        <v>76</v>
      </c>
      <c r="C4" s="3" t="s">
        <v>73</v>
      </c>
      <c r="D4" s="3" t="s">
        <v>72</v>
      </c>
      <c r="E4" s="3" t="s">
        <v>75</v>
      </c>
      <c r="F4" s="3" t="s">
        <v>74</v>
      </c>
      <c r="G4" s="3" t="s">
        <v>71</v>
      </c>
      <c r="H4" s="3" t="s">
        <v>93</v>
      </c>
      <c r="I4" s="3" t="s">
        <v>94</v>
      </c>
      <c r="J4" s="3" t="s">
        <v>95</v>
      </c>
    </row>
    <row r="5" customFormat="false" ht="15" hidden="false" customHeight="false" outlineLevel="0" collapsed="false">
      <c r="A5" s="14" t="s">
        <v>80</v>
      </c>
      <c r="B5" s="12" t="n">
        <f aca="false">COUNTIF(Classification!$B$5:$B$44,"M")</f>
        <v>1</v>
      </c>
      <c r="C5" s="9" t="n">
        <f aca="false">COUNTIF(Classification!$B$5:$B$44,"O")</f>
        <v>11</v>
      </c>
      <c r="D5" s="8" t="n">
        <f aca="false">COUNTIF(Classification!$B$5:$B$44,"A")</f>
        <v>15</v>
      </c>
      <c r="E5" s="11" t="n">
        <f aca="false">COUNTIF(Classification!$B$5:$B$44,"I")</f>
        <v>8</v>
      </c>
      <c r="F5" s="10" t="n">
        <f aca="false">COUNTIF(Classification!$B$5:$B$44,"R")</f>
        <v>0</v>
      </c>
      <c r="G5" s="7" t="n">
        <f aca="false">COUNTIF(Classification!$B$5:$B$44,"Q")</f>
        <v>4</v>
      </c>
      <c r="H5" s="15" t="n">
        <f aca="false">COUNTIF(Classification!$B$5:$B$44,"Incomplete")</f>
        <v>1</v>
      </c>
      <c r="I5" s="15" t="n">
        <f aca="false">SUM(B5:H5)</f>
        <v>40</v>
      </c>
      <c r="J5" s="13" t="str">
        <f aca="false">INDEX($B$4:$G$4,MATCH(MAX(B5:G5),B5:G5,0))</f>
        <v>A</v>
      </c>
    </row>
    <row r="6" customFormat="false" ht="15" hidden="false" customHeight="false" outlineLevel="0" collapsed="false">
      <c r="A6" s="14" t="s">
        <v>81</v>
      </c>
      <c r="B6" s="12" t="n">
        <f aca="false">COUNTIF(Classification!$C$5:$C$44,"M")</f>
        <v>4</v>
      </c>
      <c r="C6" s="9" t="n">
        <f aca="false">COUNTIF(Classification!$C$5:$C$44,"O")</f>
        <v>9</v>
      </c>
      <c r="D6" s="8" t="n">
        <f aca="false">COUNTIF(Classification!$C$5:$C$44,"A")</f>
        <v>12</v>
      </c>
      <c r="E6" s="11" t="n">
        <f aca="false">COUNTIF(Classification!$C$5:$C$44,"I")</f>
        <v>9</v>
      </c>
      <c r="F6" s="10" t="n">
        <f aca="false">COUNTIF(Classification!$C$5:$C$44,"R")</f>
        <v>0</v>
      </c>
      <c r="G6" s="7" t="n">
        <f aca="false">COUNTIF(Classification!$C$5:$C$44,"Q")</f>
        <v>4</v>
      </c>
      <c r="H6" s="15" t="n">
        <f aca="false">COUNTIF(Classification!$C$5:$C$44,"Incomplete")</f>
        <v>2</v>
      </c>
      <c r="I6" s="15" t="n">
        <f aca="false">SUM(B6:H6)</f>
        <v>40</v>
      </c>
      <c r="J6" s="13" t="str">
        <f aca="false">INDEX($B$4:$G$4,MATCH(MAX(B6:G6),B6:G6,0))</f>
        <v>A</v>
      </c>
    </row>
    <row r="7" customFormat="false" ht="15" hidden="false" customHeight="false" outlineLevel="0" collapsed="false">
      <c r="A7" s="14" t="s">
        <v>82</v>
      </c>
      <c r="B7" s="12" t="n">
        <f aca="false">COUNTIF(Classification!$D$5:$D$44,"M")</f>
        <v>5</v>
      </c>
      <c r="C7" s="9" t="n">
        <f aca="false">COUNTIF(Classification!$D$5:$D$44,"O")</f>
        <v>12</v>
      </c>
      <c r="D7" s="8" t="n">
        <f aca="false">COUNTIF(Classification!$D$5:$D$44,"A")</f>
        <v>5</v>
      </c>
      <c r="E7" s="11" t="n">
        <f aca="false">COUNTIF(Classification!$D$5:$D$44,"I")</f>
        <v>10</v>
      </c>
      <c r="F7" s="10" t="n">
        <f aca="false">COUNTIF(Classification!$D$5:$D$44,"R")</f>
        <v>2</v>
      </c>
      <c r="G7" s="7" t="n">
        <f aca="false">COUNTIF(Classification!$D$5:$D$44,"Q")</f>
        <v>4</v>
      </c>
      <c r="H7" s="15" t="n">
        <f aca="false">COUNTIF(Classification!$D$5:$D$44,"Incomplete")</f>
        <v>2</v>
      </c>
      <c r="I7" s="15" t="n">
        <f aca="false">SUM(B7:H7)</f>
        <v>40</v>
      </c>
      <c r="J7" s="13" t="str">
        <f aca="false">INDEX($B$4:$G$4,MATCH(MAX(B7:G7),B7:G7,0))</f>
        <v>O</v>
      </c>
    </row>
    <row r="8" customFormat="false" ht="15" hidden="false" customHeight="false" outlineLevel="0" collapsed="false">
      <c r="A8" s="14" t="s">
        <v>83</v>
      </c>
      <c r="B8" s="12" t="n">
        <f aca="false">COUNTIF(Classification!$E$5:$E$44,"M")</f>
        <v>2</v>
      </c>
      <c r="C8" s="9" t="n">
        <f aca="false">COUNTIF(Classification!$E$5:$E$44,"O")</f>
        <v>9</v>
      </c>
      <c r="D8" s="8" t="n">
        <f aca="false">COUNTIF(Classification!$E$5:$E$44,"A")</f>
        <v>9</v>
      </c>
      <c r="E8" s="11" t="n">
        <f aca="false">COUNTIF(Classification!$E$5:$E$44,"I")</f>
        <v>13</v>
      </c>
      <c r="F8" s="10" t="n">
        <f aca="false">COUNTIF(Classification!$E$5:$E$44,"R")</f>
        <v>1</v>
      </c>
      <c r="G8" s="7" t="n">
        <f aca="false">COUNTIF(Classification!$E$5:$E$44,"Q")</f>
        <v>4</v>
      </c>
      <c r="H8" s="15" t="n">
        <f aca="false">COUNTIF(Classification!$E$5:$E$44,"Incomplete")</f>
        <v>2</v>
      </c>
      <c r="I8" s="15" t="n">
        <f aca="false">SUM(B8:H8)</f>
        <v>40</v>
      </c>
      <c r="J8" s="13" t="str">
        <f aca="false">INDEX($B$4:$G$4,MATCH(MAX(B8:G8),B8:G8,0))</f>
        <v>I</v>
      </c>
    </row>
    <row r="9" customFormat="false" ht="15" hidden="false" customHeight="false" outlineLevel="0" collapsed="false">
      <c r="A9" s="14" t="s">
        <v>84</v>
      </c>
      <c r="B9" s="12" t="n">
        <f aca="false">COUNTIF(Classification!$F$5:$F$44,"M")</f>
        <v>1</v>
      </c>
      <c r="C9" s="9" t="n">
        <f aca="false">COUNTIF(Classification!$F$5:$F$44,"O")</f>
        <v>8</v>
      </c>
      <c r="D9" s="8" t="n">
        <f aca="false">COUNTIF(Classification!$F$5:$F$44,"A")</f>
        <v>8</v>
      </c>
      <c r="E9" s="11" t="n">
        <f aca="false">COUNTIF(Classification!$F$5:$F$44,"I")</f>
        <v>12</v>
      </c>
      <c r="F9" s="10" t="n">
        <f aca="false">COUNTIF(Classification!$F$5:$F$44,"R")</f>
        <v>3</v>
      </c>
      <c r="G9" s="7" t="n">
        <f aca="false">COUNTIF(Classification!$F$5:$F$44,"Q")</f>
        <v>4</v>
      </c>
      <c r="H9" s="15" t="n">
        <f aca="false">COUNTIF(Classification!$F$5:$F$44,"Incomplete")</f>
        <v>4</v>
      </c>
      <c r="I9" s="15" t="n">
        <f aca="false">SUM(B9:H9)</f>
        <v>40</v>
      </c>
      <c r="J9" s="13" t="str">
        <f aca="false">INDEX($B$4:$G$4,MATCH(MAX(B9:G9),B9:G9,0))</f>
        <v>I</v>
      </c>
    </row>
    <row r="10" customFormat="false" ht="15" hidden="false" customHeight="false" outlineLevel="0" collapsed="false">
      <c r="A10" s="14" t="s">
        <v>85</v>
      </c>
      <c r="B10" s="12" t="n">
        <f aca="false">COUNTIF(Classification!$G$5:$G$44,"M")</f>
        <v>1</v>
      </c>
      <c r="C10" s="9" t="n">
        <f aca="false">COUNTIF(Classification!$G$5:$G$44,"O")</f>
        <v>8</v>
      </c>
      <c r="D10" s="8" t="n">
        <f aca="false">COUNTIF(Classification!$G$5:$G$44,"A")</f>
        <v>6</v>
      </c>
      <c r="E10" s="11" t="n">
        <f aca="false">COUNTIF(Classification!$G$5:$G$44,"I")</f>
        <v>13</v>
      </c>
      <c r="F10" s="10" t="n">
        <f aca="false">COUNTIF(Classification!$G$5:$G$44,"R")</f>
        <v>5</v>
      </c>
      <c r="G10" s="7" t="n">
        <f aca="false">COUNTIF(Classification!$G$5:$G$44,"Q")</f>
        <v>6</v>
      </c>
      <c r="H10" s="15" t="n">
        <f aca="false">COUNTIF(Classification!$G$5:$G$44,"Incomplete")</f>
        <v>1</v>
      </c>
      <c r="I10" s="15" t="n">
        <f aca="false">SUM(B10:H10)</f>
        <v>40</v>
      </c>
      <c r="J10" s="13" t="str">
        <f aca="false">INDEX($B$4:$G$4,MATCH(MAX(B10:G10),B10:G10,0))</f>
        <v>I</v>
      </c>
    </row>
    <row r="11" customFormat="false" ht="15" hidden="false" customHeight="false" outlineLevel="0" collapsed="false">
      <c r="A11" s="14" t="s">
        <v>86</v>
      </c>
      <c r="B11" s="12" t="n">
        <f aca="false">COUNTIF(Classification!$H$5:$H$44,"M")</f>
        <v>5</v>
      </c>
      <c r="C11" s="9" t="n">
        <f aca="false">COUNTIF(Classification!$H$5:$H$44,"O")</f>
        <v>11</v>
      </c>
      <c r="D11" s="8" t="n">
        <f aca="false">COUNTIF(Classification!$H$5:$H$44,"A")</f>
        <v>8</v>
      </c>
      <c r="E11" s="11" t="n">
        <f aca="false">COUNTIF(Classification!$H$5:$H$44,"I")</f>
        <v>7</v>
      </c>
      <c r="F11" s="10" t="n">
        <f aca="false">COUNTIF(Classification!$H$5:$H$44,"R")</f>
        <v>1</v>
      </c>
      <c r="G11" s="7" t="n">
        <f aca="false">COUNTIF(Classification!$H$5:$H$44,"Q")</f>
        <v>6</v>
      </c>
      <c r="H11" s="15" t="n">
        <f aca="false">COUNTIF(Classification!$H$5:$H$44,"Incomplete")</f>
        <v>2</v>
      </c>
      <c r="I11" s="15" t="n">
        <f aca="false">SUM(B11:H11)</f>
        <v>40</v>
      </c>
      <c r="J11" s="13" t="str">
        <f aca="false">INDEX($B$4:$G$4,MATCH(MAX(B11:G11),B11:G11,0))</f>
        <v>O</v>
      </c>
    </row>
    <row r="12" customFormat="false" ht="15" hidden="false" customHeight="false" outlineLevel="0" collapsed="false">
      <c r="A12" s="14" t="s">
        <v>87</v>
      </c>
      <c r="B12" s="12" t="n">
        <f aca="false">COUNTIF(Classification!$I$5:$I$44,"M")</f>
        <v>3</v>
      </c>
      <c r="C12" s="9" t="n">
        <f aca="false">COUNTIF(Classification!$I$5:$I$44,"O")</f>
        <v>8</v>
      </c>
      <c r="D12" s="8" t="n">
        <f aca="false">COUNTIF(Classification!$I$5:$I$44,"A")</f>
        <v>9</v>
      </c>
      <c r="E12" s="11" t="n">
        <f aca="false">COUNTIF(Classification!$I$5:$I$44,"I")</f>
        <v>10</v>
      </c>
      <c r="F12" s="10" t="n">
        <f aca="false">COUNTIF(Classification!$I$5:$I$44,"R")</f>
        <v>3</v>
      </c>
      <c r="G12" s="7" t="n">
        <f aca="false">COUNTIF(Classification!$I$5:$I$44,"Q")</f>
        <v>4</v>
      </c>
      <c r="H12" s="15" t="n">
        <f aca="false">COUNTIF(Classification!$I$5:$I$44,"Incomplete")</f>
        <v>3</v>
      </c>
      <c r="I12" s="15" t="n">
        <f aca="false">SUM(B12:H12)</f>
        <v>40</v>
      </c>
      <c r="J12" s="13" t="str">
        <f aca="false">INDEX($B$4:$G$4,MATCH(MAX(B12:G12),B12:G12,0))</f>
        <v>I</v>
      </c>
    </row>
    <row r="13" customFormat="false" ht="15" hidden="false" customHeight="false" outlineLevel="0" collapsed="false">
      <c r="A13" s="14" t="s">
        <v>88</v>
      </c>
      <c r="B13" s="12" t="n">
        <f aca="false">COUNTIF(Classification!$J$5:$J$44,"M")</f>
        <v>3</v>
      </c>
      <c r="C13" s="9" t="n">
        <f aca="false">COUNTIF(Classification!$J$5:$J$44,"O")</f>
        <v>8</v>
      </c>
      <c r="D13" s="8" t="n">
        <f aca="false">COUNTIF(Classification!$J$5:$J$44,"A")</f>
        <v>5</v>
      </c>
      <c r="E13" s="11" t="n">
        <f aca="false">COUNTIF(Classification!$J$5:$J$44,"I")</f>
        <v>10</v>
      </c>
      <c r="F13" s="10" t="n">
        <f aca="false">COUNTIF(Classification!$J$5:$J$44,"R")</f>
        <v>3</v>
      </c>
      <c r="G13" s="7" t="n">
        <f aca="false">COUNTIF(Classification!$J$5:$J$44,"Q")</f>
        <v>8</v>
      </c>
      <c r="H13" s="15" t="n">
        <f aca="false">COUNTIF(Classification!$J$5:$J$44,"Incomplete")</f>
        <v>3</v>
      </c>
      <c r="I13" s="15" t="n">
        <f aca="false">SUM(B13:H13)</f>
        <v>40</v>
      </c>
      <c r="J13" s="13" t="str">
        <f aca="false">INDEX($B$4:$G$4,MATCH(MAX(B13:G13),B13:G13,0))</f>
        <v>I</v>
      </c>
    </row>
    <row r="14" customFormat="false" ht="15" hidden="false" customHeight="false" outlineLevel="0" collapsed="false">
      <c r="A14" s="14" t="s">
        <v>89</v>
      </c>
      <c r="B14" s="12" t="n">
        <f aca="false">COUNTIF(Classification!$K$5:$K$44,"M")</f>
        <v>5</v>
      </c>
      <c r="C14" s="9" t="n">
        <f aca="false">COUNTIF(Classification!$K$5:$K$44,"O")</f>
        <v>12</v>
      </c>
      <c r="D14" s="8" t="n">
        <f aca="false">COUNTIF(Classification!$K$5:$K$44,"A")</f>
        <v>7</v>
      </c>
      <c r="E14" s="11" t="n">
        <f aca="false">COUNTIF(Classification!$K$5:$K$44,"I")</f>
        <v>9</v>
      </c>
      <c r="F14" s="10" t="n">
        <f aca="false">COUNTIF(Classification!$K$5:$K$44,"R")</f>
        <v>1</v>
      </c>
      <c r="G14" s="7" t="n">
        <f aca="false">COUNTIF(Classification!$K$5:$K$44,"Q")</f>
        <v>5</v>
      </c>
      <c r="H14" s="15" t="n">
        <f aca="false">COUNTIF(Classification!$K$5:$K$44,"Incomplete")</f>
        <v>1</v>
      </c>
      <c r="I14" s="15" t="n">
        <f aca="false">SUM(B14:H14)</f>
        <v>40</v>
      </c>
      <c r="J14" s="13" t="str">
        <f aca="false">INDEX($B$4:$G$4,MATCH(MAX(B14:G14),B14:G14,0))</f>
        <v>O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2026-09-26T05:51:54Z</dcterms:created>
  <dc:creator>openpyxl</dc:creator>
  <dc:description/>
  <dc:language>en-US</dc:language>
  <cp:lastModifiedBy/>
  <dcterms:modified xsi:type="dcterms:W3CDTF">2026-09-26T05:51:56Z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