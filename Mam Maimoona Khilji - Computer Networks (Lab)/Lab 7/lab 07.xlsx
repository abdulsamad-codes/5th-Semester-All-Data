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2.xml" ContentType="application/vnd.openxmlformats-officedocument.drawing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moonakhilji/Downloads/New Folder With Items/Documents/IMS/2026/Computer Networks (Lab) (BSSE (2024-2028 (Fall)) - 5th Semester) /Lectures/"/>
    </mc:Choice>
  </mc:AlternateContent>
  <xr:revisionPtr revIDLastSave="0" documentId="13_ncr:1_{F0F5DF28-F81A-C441-A43E-47DDFAA4BDC4}" xr6:coauthVersionLast="47" xr6:coauthVersionMax="47" xr10:uidLastSave="{00000000-0000-0000-0000-000000000000}"/>
  <bookViews>
    <workbookView xWindow="0" yWindow="0" windowWidth="20480" windowHeight="15360" activeTab="1" xr2:uid="{3CDF6DB0-D8F0-974B-B912-27E8136FF36A}"/>
  </bookViews>
  <sheets>
    <sheet name="LAB 06" sheetId="9" r:id="rId1"/>
    <sheet name="Activity 01" sheetId="2" r:id="rId2"/>
    <sheet name="VLSM" sheetId="10" r:id="rId3"/>
    <sheet name="Activity 0" sheetId="3" r:id="rId4"/>
    <sheet name="Activity 0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M13" i="2"/>
  <c r="G6" i="2"/>
  <c r="H44" i="2"/>
  <c r="E5" i="2"/>
  <c r="H7" i="2"/>
  <c r="I7" i="2"/>
  <c r="J7" i="2"/>
  <c r="K7" i="2"/>
  <c r="L7" i="2"/>
  <c r="M7" i="2"/>
  <c r="N7" i="2"/>
  <c r="G7" i="2"/>
  <c r="S2" i="10"/>
  <c r="T2" i="10"/>
  <c r="N2" i="10"/>
  <c r="R2" i="10"/>
  <c r="Q2" i="10"/>
  <c r="P2" i="10"/>
  <c r="O2" i="10"/>
  <c r="M2" i="10"/>
  <c r="E41" i="2"/>
  <c r="N2" i="2"/>
  <c r="M2" i="2"/>
  <c r="L2" i="2"/>
  <c r="K2" i="2"/>
  <c r="J2" i="2"/>
  <c r="I2" i="2"/>
  <c r="H2" i="2"/>
  <c r="G2" i="2"/>
  <c r="N6" i="2"/>
  <c r="N8" i="2"/>
  <c r="M6" i="2"/>
  <c r="M8" i="2"/>
  <c r="L6" i="2"/>
  <c r="L8" i="2"/>
  <c r="G8" i="2"/>
  <c r="K6" i="2"/>
  <c r="K8" i="2"/>
  <c r="I6" i="2"/>
  <c r="J6" i="2"/>
  <c r="I8" i="2"/>
  <c r="J8" i="2"/>
  <c r="H8" i="2"/>
  <c r="H6" i="2"/>
  <c r="E14" i="9"/>
  <c r="F34" i="9"/>
  <c r="G10" i="9"/>
  <c r="E4" i="9"/>
  <c r="Q2" i="9"/>
  <c r="P2" i="9"/>
  <c r="O2" i="9"/>
  <c r="N2" i="9"/>
  <c r="M2" i="9"/>
  <c r="L2" i="9"/>
  <c r="K2" i="9"/>
  <c r="J2" i="9"/>
  <c r="E13" i="9" l="1"/>
  <c r="D18" i="9" s="1"/>
  <c r="D19" i="9" s="1"/>
  <c r="O2" i="6"/>
  <c r="N2" i="6"/>
  <c r="M2" i="6"/>
  <c r="L2" i="6"/>
  <c r="K2" i="6"/>
  <c r="J2" i="6"/>
  <c r="I2" i="6"/>
  <c r="H2" i="6"/>
  <c r="S2" i="3"/>
  <c r="R2" i="3"/>
  <c r="Q2" i="3"/>
  <c r="P2" i="3"/>
  <c r="O2" i="3"/>
  <c r="N2" i="3"/>
  <c r="M2" i="3"/>
  <c r="L2" i="3"/>
</calcChain>
</file>

<file path=xl/sharedStrings.xml><?xml version="1.0" encoding="utf-8"?>
<sst xmlns="http://schemas.openxmlformats.org/spreadsheetml/2006/main" count="357" uniqueCount="154">
  <si>
    <t>Subnet Mask</t>
  </si>
  <si>
    <t>Usable Hosts</t>
  </si>
  <si>
    <r>
      <t>2</t>
    </r>
    <r>
      <rPr>
        <vertAlign val="superscript"/>
        <sz val="12"/>
        <color theme="1"/>
        <rFont val="Aptos Narrow (Body)"/>
      </rPr>
      <t>7</t>
    </r>
  </si>
  <si>
    <r>
      <t>2</t>
    </r>
    <r>
      <rPr>
        <vertAlign val="superscript"/>
        <sz val="12"/>
        <color theme="1"/>
        <rFont val="Aptos Narrow (Body)"/>
      </rPr>
      <t>6</t>
    </r>
  </si>
  <si>
    <r>
      <t>2</t>
    </r>
    <r>
      <rPr>
        <vertAlign val="superscript"/>
        <sz val="12"/>
        <color theme="1"/>
        <rFont val="Aptos Narrow (Body)"/>
      </rPr>
      <t>5</t>
    </r>
  </si>
  <si>
    <r>
      <t>2</t>
    </r>
    <r>
      <rPr>
        <vertAlign val="superscript"/>
        <sz val="12"/>
        <color theme="1"/>
        <rFont val="Aptos Narrow (Body)"/>
      </rPr>
      <t>4</t>
    </r>
  </si>
  <si>
    <r>
      <t>2</t>
    </r>
    <r>
      <rPr>
        <vertAlign val="superscript"/>
        <sz val="12"/>
        <color theme="1"/>
        <rFont val="Aptos Narrow (Body)"/>
      </rPr>
      <t>3</t>
    </r>
  </si>
  <si>
    <r>
      <t>2</t>
    </r>
    <r>
      <rPr>
        <vertAlign val="superscript"/>
        <sz val="12"/>
        <color theme="1"/>
        <rFont val="Aptos Narrow (Body)"/>
      </rPr>
      <t>2</t>
    </r>
  </si>
  <si>
    <r>
      <t>2</t>
    </r>
    <r>
      <rPr>
        <vertAlign val="superscript"/>
        <sz val="12"/>
        <color theme="1"/>
        <rFont val="Aptos Narrow (Body)"/>
      </rPr>
      <t>1</t>
    </r>
  </si>
  <si>
    <r>
      <t>2</t>
    </r>
    <r>
      <rPr>
        <vertAlign val="superscript"/>
        <sz val="12"/>
        <color theme="1"/>
        <rFont val="Aptos Narrow (Body)"/>
      </rPr>
      <t>0</t>
    </r>
  </si>
  <si>
    <t>192.168.10.0</t>
  </si>
  <si>
    <t>192.168.10.255</t>
  </si>
  <si>
    <t>Number of subnets</t>
  </si>
  <si>
    <t>borrowed bits</t>
  </si>
  <si>
    <t>Find the required borrowed bits</t>
  </si>
  <si>
    <t>prefix</t>
  </si>
  <si>
    <t>Find the new prefix (+borrowed bits)</t>
  </si>
  <si>
    <t>Find the subnet mask</t>
  </si>
  <si>
    <t>/25</t>
  </si>
  <si>
    <t>Find the block size. Look at the last octet:</t>
  </si>
  <si>
    <t>total bits - last octet</t>
  </si>
  <si>
    <t>List the subnets</t>
  </si>
  <si>
    <t xml:space="preserve">First Host </t>
  </si>
  <si>
    <t>Last Host</t>
  </si>
  <si>
    <t>Broadcast</t>
  </si>
  <si>
    <t xml:space="preserve">Network </t>
  </si>
  <si>
    <t xml:space="preserve">Subnet </t>
  </si>
  <si>
    <t>192.168.10.1</t>
  </si>
  <si>
    <t>192.168.10.127</t>
  </si>
  <si>
    <t>192.168.10.126</t>
  </si>
  <si>
    <t>192.168.10.128</t>
  </si>
  <si>
    <t>192.168.10.129</t>
  </si>
  <si>
    <t>(24+2)</t>
  </si>
  <si>
    <t>/26</t>
  </si>
  <si>
    <t>192.168.10.64</t>
  </si>
  <si>
    <t>192.168.10.192</t>
  </si>
  <si>
    <t>192.168.10.254</t>
  </si>
  <si>
    <t>192.168.10.193</t>
  </si>
  <si>
    <t>192.168.10.190</t>
  </si>
  <si>
    <t>192.168.10.191</t>
  </si>
  <si>
    <t>192.168.10.65</t>
  </si>
  <si>
    <t>Department</t>
  </si>
  <si>
    <t>Management</t>
  </si>
  <si>
    <t>Mask</t>
  </si>
  <si>
    <t>Network</t>
  </si>
  <si>
    <t>255.255.255.192</t>
  </si>
  <si>
    <t>192.168.10.63</t>
  </si>
  <si>
    <t>192.168.10.62</t>
  </si>
  <si>
    <t>Hosts Required</t>
  </si>
  <si>
    <t>Data Science</t>
  </si>
  <si>
    <t>Administration</t>
  </si>
  <si>
    <t>Faculty</t>
  </si>
  <si>
    <t>192.168.50.0/24</t>
  </si>
  <si>
    <t>Step 1: Determine the required prefix</t>
  </si>
  <si>
    <t>Total Host</t>
  </si>
  <si>
    <t>/27</t>
  </si>
  <si>
    <t>/28</t>
  </si>
  <si>
    <t>Step 2: Allocate the address space</t>
  </si>
  <si>
    <t>Prefix</t>
  </si>
  <si>
    <t>Host Range</t>
  </si>
  <si>
    <t>192.168.50.0</t>
  </si>
  <si>
    <t>192.168.50.1 – 192.168.50.62</t>
  </si>
  <si>
    <t>192.168.50.63</t>
  </si>
  <si>
    <t>255.255.255.224</t>
  </si>
  <si>
    <t>192.168.50.64</t>
  </si>
  <si>
    <t>192.168.50.65 – 192.168.50.94</t>
  </si>
  <si>
    <t>192.168.50.95</t>
  </si>
  <si>
    <t>192.168.50.96</t>
  </si>
  <si>
    <t>192.168.50.97 – 192.168.50.126</t>
  </si>
  <si>
    <t>192.168.50.127</t>
  </si>
  <si>
    <t>255.255.255.240</t>
  </si>
  <si>
    <t>192.168.50.128</t>
  </si>
  <si>
    <t>192.168.50.129 – 192.168.50.142</t>
  </si>
  <si>
    <t>192.168.50.143</t>
  </si>
  <si>
    <t>10.10.0.0/24</t>
  </si>
  <si>
    <t>Network A → 100 hosts</t>
  </si>
  <si>
    <t>Network B → 50 hosts</t>
  </si>
  <si>
    <t>Network C → 20 hosts</t>
  </si>
  <si>
    <t>Network D → 10 hosts</t>
  </si>
  <si>
    <t>Network A</t>
  </si>
  <si>
    <t>Network B</t>
  </si>
  <si>
    <t>Network C</t>
  </si>
  <si>
    <t>Network D</t>
  </si>
  <si>
    <t>255.255.255.128</t>
  </si>
  <si>
    <t>192.168.10</t>
  </si>
  <si>
    <t>192.168.20</t>
  </si>
  <si>
    <t>n</t>
  </si>
  <si>
    <t>hosts</t>
  </si>
  <si>
    <t>Number of hosts ( 2^n - 2)</t>
  </si>
  <si>
    <t xml:space="preserve">borrowed bits </t>
  </si>
  <si>
    <t>Arrange the networks from largest to smallest.</t>
  </si>
  <si>
    <t>Determine the required prefix for each network.</t>
  </si>
  <si>
    <t>Determine the subnet mask.</t>
  </si>
  <si>
    <t>Allocate the network addresses.</t>
  </si>
  <si>
    <t>Find:</t>
  </si>
  <si>
    <t>First usable host</t>
  </si>
  <si>
    <t>Last usable host</t>
  </si>
  <si>
    <t>Broadcast address</t>
  </si>
  <si>
    <t>Identify the remaining unused address space.</t>
  </si>
  <si>
    <t>host bits</t>
  </si>
  <si>
    <t>/29</t>
  </si>
  <si>
    <t>255.255.255.248</t>
  </si>
  <si>
    <t>192.168.100.0/24</t>
  </si>
  <si>
    <t>192.168.100.0</t>
  </si>
  <si>
    <t>192.168.100.1 – 192.168.100.62</t>
  </si>
  <si>
    <t>192.168.100.64</t>
  </si>
  <si>
    <t>192.168.100.65 – 192.168.100.94</t>
  </si>
  <si>
    <t>192.168.100.96</t>
  </si>
  <si>
    <t>192.168.100.97 – 192.168.100.109</t>
  </si>
  <si>
    <t>192.168.50.110</t>
  </si>
  <si>
    <t>192.168.100.111</t>
  </si>
  <si>
    <t>192.168.50.118</t>
  </si>
  <si>
    <t>192.168.110.112 – 192.168.100.117</t>
  </si>
  <si>
    <t>192.168.100.119  - 192.168.100.255</t>
  </si>
  <si>
    <t>Available</t>
  </si>
  <si>
    <t>01100100</t>
  </si>
  <si>
    <t>00000001</t>
  </si>
  <si>
    <t>00111110</t>
  </si>
  <si>
    <t>01000001</t>
  </si>
  <si>
    <t>Subnet</t>
  </si>
  <si>
    <t>PC 1</t>
  </si>
  <si>
    <t>PC 2</t>
  </si>
  <si>
    <t>PC 3</t>
  </si>
  <si>
    <t>PC 4</t>
  </si>
  <si>
    <t>01011110</t>
  </si>
  <si>
    <t>PC 5</t>
  </si>
  <si>
    <t>PC 6</t>
  </si>
  <si>
    <t>01100001</t>
  </si>
  <si>
    <t xml:space="preserve"> 01101101</t>
  </si>
  <si>
    <t>01110000</t>
  </si>
  <si>
    <t>01110101</t>
  </si>
  <si>
    <t>PC 7</t>
  </si>
  <si>
    <t>PC 8</t>
  </si>
  <si>
    <t>01000010</t>
  </si>
  <si>
    <t>01111000</t>
  </si>
  <si>
    <t>10000111</t>
  </si>
  <si>
    <t>10010110</t>
  </si>
  <si>
    <t>11000011</t>
  </si>
  <si>
    <t>11111010</t>
  </si>
  <si>
    <t>No. of subnets</t>
  </si>
  <si>
    <t>Network ID</t>
  </si>
  <si>
    <t>first host</t>
  </si>
  <si>
    <t>last host</t>
  </si>
  <si>
    <t>broadcast IP</t>
  </si>
  <si>
    <t>192.168.100.112</t>
  </si>
  <si>
    <t>192.168.100.113</t>
  </si>
  <si>
    <t>192.168.100.118</t>
  </si>
  <si>
    <t>192.168.100.119</t>
  </si>
  <si>
    <t>used Ips</t>
  </si>
  <si>
    <t>future use</t>
  </si>
  <si>
    <t xml:space="preserve">host bits </t>
  </si>
  <si>
    <t>2^(8-borrowed bits)</t>
  </si>
  <si>
    <t>subnets</t>
  </si>
  <si>
    <t>2^borrowed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</si>
</sst>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perscript"/>
      <sz val="12"/>
      <color theme="1"/>
      <name val="Aptos Narrow (Body)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0" borderId="0" xfId="0" quotePrefix="1"/>
    <xf numFmtId="0" fontId="8" fillId="0" borderId="0" xfId="0" applyFont="1"/>
    <xf numFmtId="0" fontId="5" fillId="0" borderId="1" xfId="0" applyFont="1" applyBorder="1"/>
    <xf numFmtId="0" fontId="5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8" xfId="0" applyFont="1" applyBorder="1"/>
    <xf numFmtId="0" fontId="5" fillId="0" borderId="2" xfId="0" applyFont="1" applyBorder="1"/>
    <xf numFmtId="0" fontId="8" fillId="0" borderId="7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8" xfId="0" applyFont="1" applyBorder="1"/>
    <xf numFmtId="0" fontId="0" fillId="3" borderId="6" xfId="0" applyFill="1" applyBorder="1"/>
    <xf numFmtId="0" fontId="0" fillId="3" borderId="7" xfId="0" applyFill="1" applyBorder="1"/>
    <xf numFmtId="0" fontId="0" fillId="3" borderId="7" xfId="0" quotePrefix="1" applyFill="1" applyBorder="1" applyAlignment="1">
      <alignment horizontal="right"/>
    </xf>
    <xf numFmtId="0" fontId="0" fillId="3" borderId="8" xfId="0" quotePrefix="1" applyFill="1" applyBorder="1" applyAlignment="1">
      <alignment horizontal="righ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8" xfId="0" applyFill="1" applyBorder="1"/>
    <xf numFmtId="0" fontId="7" fillId="3" borderId="1" xfId="0" applyFont="1" applyFill="1" applyBorder="1"/>
    <xf numFmtId="0" fontId="0" fillId="3" borderId="0" xfId="0" applyFill="1" applyAlignment="1">
      <alignment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0" xfId="0" applyFill="1" applyAlignment="1">
      <alignment vertical="center"/>
    </xf>
    <xf numFmtId="0" fontId="0" fillId="4" borderId="7" xfId="0" quotePrefix="1" applyFill="1" applyBorder="1" applyAlignment="1">
      <alignment horizontal="right"/>
    </xf>
    <xf numFmtId="0" fontId="0" fillId="4" borderId="8" xfId="0" quotePrefix="1" applyFill="1" applyBorder="1" applyAlignment="1">
      <alignment horizontal="right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0" xfId="0" applyFill="1" applyAlignment="1">
      <alignment vertical="center"/>
    </xf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7" xfId="0" quotePrefix="1" applyFill="1" applyBorder="1" applyAlignment="1">
      <alignment horizontal="right"/>
    </xf>
    <xf numFmtId="0" fontId="0" fillId="5" borderId="8" xfId="0" quotePrefix="1" applyFill="1" applyBorder="1" applyAlignment="1">
      <alignment horizontal="right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 applyAlignment="1">
      <alignment vertical="center"/>
    </xf>
    <xf numFmtId="0" fontId="0" fillId="2" borderId="7" xfId="0" quotePrefix="1" applyFill="1" applyBorder="1" applyAlignment="1">
      <alignment horizontal="right"/>
    </xf>
    <xf numFmtId="0" fontId="0" fillId="2" borderId="8" xfId="0" quotePrefix="1" applyFill="1" applyBorder="1" applyAlignment="1">
      <alignment horizontal="right"/>
    </xf>
    <xf numFmtId="0" fontId="8" fillId="0" borderId="1" xfId="0" applyFont="1" applyBorder="1"/>
    <xf numFmtId="0" fontId="8" fillId="0" borderId="2" xfId="0" applyFont="1" applyBorder="1"/>
    <xf numFmtId="0" fontId="0" fillId="2" borderId="5" xfId="0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8.xml"/><Relationship Id="rId18" Type="http://schemas.openxmlformats.org/officeDocument/2006/relationships/image" Target="../media/image16.png"/><Relationship Id="rId26" Type="http://schemas.openxmlformats.org/officeDocument/2006/relationships/image" Target="../media/image20.png"/><Relationship Id="rId39" Type="http://schemas.openxmlformats.org/officeDocument/2006/relationships/customXml" Target="../ink/ink31.xml"/><Relationship Id="rId21" Type="http://schemas.openxmlformats.org/officeDocument/2006/relationships/customXml" Target="../ink/ink22.xml"/><Relationship Id="rId34" Type="http://schemas.openxmlformats.org/officeDocument/2006/relationships/image" Target="../media/image28.png"/><Relationship Id="rId42" Type="http://schemas.openxmlformats.org/officeDocument/2006/relationships/image" Target="../media/image32.png"/><Relationship Id="rId7" Type="http://schemas.openxmlformats.org/officeDocument/2006/relationships/customXml" Target="../ink/ink15.xml"/><Relationship Id="rId12" Type="http://schemas.openxmlformats.org/officeDocument/2006/relationships/image" Target="../media/image13.png"/><Relationship Id="rId17" Type="http://schemas.openxmlformats.org/officeDocument/2006/relationships/customXml" Target="../ink/ink20.xml"/><Relationship Id="rId25" Type="http://schemas.openxmlformats.org/officeDocument/2006/relationships/customXml" Target="../ink/ink24.xml"/><Relationship Id="rId33" Type="http://schemas.openxmlformats.org/officeDocument/2006/relationships/customXml" Target="../ink/ink28.xml"/><Relationship Id="rId38" Type="http://schemas.openxmlformats.org/officeDocument/2006/relationships/image" Target="../media/image30.png"/><Relationship Id="rId16" Type="http://schemas.openxmlformats.org/officeDocument/2006/relationships/image" Target="../media/image15.png"/><Relationship Id="rId20" Type="http://schemas.openxmlformats.org/officeDocument/2006/relationships/image" Target="../media/image17.png"/><Relationship Id="rId29" Type="http://schemas.openxmlformats.org/officeDocument/2006/relationships/customXml" Target="../ink/ink26.xml"/><Relationship Id="rId41" Type="http://schemas.openxmlformats.org/officeDocument/2006/relationships/customXml" Target="../ink/ink32.xml"/><Relationship Id="rId1" Type="http://schemas.openxmlformats.org/officeDocument/2006/relationships/customXml" Target="../ink/ink13.xml"/><Relationship Id="rId6" Type="http://schemas.openxmlformats.org/officeDocument/2006/relationships/image" Target="../media/image24.png"/><Relationship Id="rId11" Type="http://schemas.openxmlformats.org/officeDocument/2006/relationships/customXml" Target="../ink/ink17.xml"/><Relationship Id="rId24" Type="http://schemas.openxmlformats.org/officeDocument/2006/relationships/image" Target="../media/image19.png"/><Relationship Id="rId32" Type="http://schemas.openxmlformats.org/officeDocument/2006/relationships/image" Target="../media/image27.png"/><Relationship Id="rId37" Type="http://schemas.openxmlformats.org/officeDocument/2006/relationships/customXml" Target="../ink/ink30.xml"/><Relationship Id="rId40" Type="http://schemas.openxmlformats.org/officeDocument/2006/relationships/image" Target="../media/image31.png"/><Relationship Id="rId5" Type="http://schemas.openxmlformats.org/officeDocument/2006/relationships/customXml" Target="../ink/ink14.xml"/><Relationship Id="rId15" Type="http://schemas.openxmlformats.org/officeDocument/2006/relationships/customXml" Target="../ink/ink19.xml"/><Relationship Id="rId23" Type="http://schemas.openxmlformats.org/officeDocument/2006/relationships/customXml" Target="../ink/ink23.xml"/><Relationship Id="rId28" Type="http://schemas.openxmlformats.org/officeDocument/2006/relationships/image" Target="../media/image21.png"/><Relationship Id="rId36" Type="http://schemas.openxmlformats.org/officeDocument/2006/relationships/image" Target="../media/image29.png"/><Relationship Id="rId10" Type="http://schemas.openxmlformats.org/officeDocument/2006/relationships/image" Target="../media/image26.png"/><Relationship Id="rId19" Type="http://schemas.openxmlformats.org/officeDocument/2006/relationships/customXml" Target="../ink/ink21.xml"/><Relationship Id="rId31" Type="http://schemas.openxmlformats.org/officeDocument/2006/relationships/customXml" Target="../ink/ink27.xml"/><Relationship Id="rId4" Type="http://schemas.openxmlformats.org/officeDocument/2006/relationships/image" Target="../media/image23.png"/><Relationship Id="rId9" Type="http://schemas.openxmlformats.org/officeDocument/2006/relationships/customXml" Target="../ink/ink16.xml"/><Relationship Id="rId14" Type="http://schemas.openxmlformats.org/officeDocument/2006/relationships/image" Target="../media/image14.png"/><Relationship Id="rId22" Type="http://schemas.openxmlformats.org/officeDocument/2006/relationships/image" Target="../media/image18.png"/><Relationship Id="rId27" Type="http://schemas.openxmlformats.org/officeDocument/2006/relationships/customXml" Target="../ink/ink25.xml"/><Relationship Id="rId30" Type="http://schemas.openxmlformats.org/officeDocument/2006/relationships/image" Target="../media/image22.png"/><Relationship Id="rId35" Type="http://schemas.openxmlformats.org/officeDocument/2006/relationships/customXml" Target="../ink/ink29.xml"/><Relationship Id="rId8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138467</xdr:colOff>
      <xdr:row>7</xdr:row>
      <xdr:rowOff>200574</xdr:rowOff>
    </xdr:from>
    <xdr:to>
      <xdr:col>16</xdr:col>
      <xdr:colOff>413549</xdr:colOff>
      <xdr:row>8</xdr:row>
      <xdr:rowOff>113297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29212A5-070E-3AB3-B83C-22F2AF670935}"/>
                </a:ext>
              </a:extLst>
            </xdr14:cNvPr>
            <xdr14:cNvContentPartPr/>
          </xdr14:nvContentPartPr>
          <xdr14:nvPr macro=""/>
          <xdr14:xfrm>
            <a:off x="15166800" y="1659960"/>
            <a:ext cx="2748240" cy="1299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29212A5-070E-3AB3-B83C-22F2AF6709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160716" y="1653989"/>
              <a:ext cx="2760408" cy="141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177389</xdr:colOff>
      <xdr:row>11</xdr:row>
      <xdr:rowOff>36657</xdr:rowOff>
    </xdr:from>
    <xdr:to>
      <xdr:col>16</xdr:col>
      <xdr:colOff>333989</xdr:colOff>
      <xdr:row>11</xdr:row>
      <xdr:rowOff>47817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1D70C91-BEBA-61DC-CECC-0A8C836B7D26}"/>
                </a:ext>
              </a:extLst>
            </xdr14:cNvPr>
            <xdr14:cNvContentPartPr/>
          </xdr14:nvContentPartPr>
          <xdr14:nvPr macro=""/>
          <xdr14:xfrm>
            <a:off x="17678880" y="2348280"/>
            <a:ext cx="156600" cy="111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1D70C91-BEBA-61DC-CECC-0A8C836B7D2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672760" y="2342160"/>
              <a:ext cx="16884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172709</xdr:colOff>
      <xdr:row>14</xdr:row>
      <xdr:rowOff>30577</xdr:rowOff>
    </xdr:from>
    <xdr:to>
      <xdr:col>16</xdr:col>
      <xdr:colOff>363149</xdr:colOff>
      <xdr:row>14</xdr:row>
      <xdr:rowOff>34177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084EE48-791D-CE55-E411-D8E66FF41189}"/>
                </a:ext>
              </a:extLst>
            </xdr14:cNvPr>
            <xdr14:cNvContentPartPr/>
          </xdr14:nvContentPartPr>
          <xdr14:nvPr macro=""/>
          <xdr14:xfrm>
            <a:off x="17674200" y="2977200"/>
            <a:ext cx="190440" cy="36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084EE48-791D-CE55-E411-D8E66FF4118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7668080" y="2971080"/>
              <a:ext cx="2026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106787</xdr:colOff>
      <xdr:row>11</xdr:row>
      <xdr:rowOff>31257</xdr:rowOff>
    </xdr:from>
    <xdr:to>
      <xdr:col>16</xdr:col>
      <xdr:colOff>332549</xdr:colOff>
      <xdr:row>11</xdr:row>
      <xdr:rowOff>205137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6E6374C-6DD4-7EF5-00CA-2A9DDD1A9911}"/>
                </a:ext>
              </a:extLst>
            </xdr14:cNvPr>
            <xdr14:cNvContentPartPr/>
          </xdr14:nvContentPartPr>
          <xdr14:nvPr macro=""/>
          <xdr14:xfrm>
            <a:off x="15135120" y="2342880"/>
            <a:ext cx="2698920" cy="1738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6E6374C-6DD4-7EF5-00CA-2A9DDD1A991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129037" y="2336760"/>
              <a:ext cx="2711087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453509</xdr:colOff>
      <xdr:row>11</xdr:row>
      <xdr:rowOff>25137</xdr:rowOff>
    </xdr:from>
    <xdr:to>
      <xdr:col>17</xdr:col>
      <xdr:colOff>105403</xdr:colOff>
      <xdr:row>11</xdr:row>
      <xdr:rowOff>48537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02F8A29-A656-2182-726B-93B9FBDBF793}"/>
                </a:ext>
              </a:extLst>
            </xdr14:cNvPr>
            <xdr14:cNvContentPartPr/>
          </xdr14:nvContentPartPr>
          <xdr14:nvPr macro=""/>
          <xdr14:xfrm>
            <a:off x="17955000" y="2336760"/>
            <a:ext cx="476280" cy="234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02F8A29-A656-2182-726B-93B9FBDBF79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7948880" y="2330640"/>
              <a:ext cx="488520" cy="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204876</xdr:colOff>
      <xdr:row>22</xdr:row>
      <xdr:rowOff>1513</xdr:rowOff>
    </xdr:from>
    <xdr:to>
      <xdr:col>16</xdr:col>
      <xdr:colOff>333756</xdr:colOff>
      <xdr:row>22</xdr:row>
      <xdr:rowOff>40753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DEF982E-D98D-FE8D-9E58-23450C79C269}"/>
                </a:ext>
              </a:extLst>
            </xdr14:cNvPr>
            <xdr14:cNvContentPartPr/>
          </xdr14:nvContentPartPr>
          <xdr14:nvPr macro=""/>
          <xdr14:xfrm>
            <a:off x="17735040" y="4623480"/>
            <a:ext cx="128880" cy="3924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DEF982E-D98D-FE8D-9E58-23450C79C26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7728903" y="4617360"/>
              <a:ext cx="141154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189396</xdr:colOff>
      <xdr:row>25</xdr:row>
      <xdr:rowOff>57943</xdr:rowOff>
    </xdr:from>
    <xdr:to>
      <xdr:col>16</xdr:col>
      <xdr:colOff>326196</xdr:colOff>
      <xdr:row>25</xdr:row>
      <xdr:rowOff>58303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31BB190-D401-1C34-264E-600F53E98A6B}"/>
                </a:ext>
              </a:extLst>
            </xdr14:cNvPr>
            <xdr14:cNvContentPartPr/>
          </xdr14:nvContentPartPr>
          <xdr14:nvPr macro=""/>
          <xdr14:xfrm>
            <a:off x="17719560" y="5311440"/>
            <a:ext cx="136800" cy="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31BB190-D401-1C34-264E-600F53E98A6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7713440" y="5305320"/>
              <a:ext cx="149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207417</xdr:colOff>
      <xdr:row>21</xdr:row>
      <xdr:rowOff>187849</xdr:rowOff>
    </xdr:from>
    <xdr:to>
      <xdr:col>16</xdr:col>
      <xdr:colOff>356076</xdr:colOff>
      <xdr:row>22</xdr:row>
      <xdr:rowOff>120313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904D75B-FBC2-0EFE-0ABF-A881F514604C}"/>
                </a:ext>
              </a:extLst>
            </xdr14:cNvPr>
            <xdr14:cNvContentPartPr/>
          </xdr14:nvContentPartPr>
          <xdr14:nvPr macro=""/>
          <xdr14:xfrm>
            <a:off x="15260040" y="4594680"/>
            <a:ext cx="2626200" cy="14760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904D75B-FBC2-0EFE-0ABF-A881F514604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5253920" y="4588560"/>
              <a:ext cx="263844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106589</xdr:colOff>
      <xdr:row>12</xdr:row>
      <xdr:rowOff>46080</xdr:rowOff>
    </xdr:from>
    <xdr:to>
      <xdr:col>17</xdr:col>
      <xdr:colOff>282269</xdr:colOff>
      <xdr:row>12</xdr:row>
      <xdr:rowOff>144720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46E932B-26A3-C35B-8705-AA6D3A062BF9}"/>
                </a:ext>
              </a:extLst>
            </xdr14:cNvPr>
            <xdr14:cNvContentPartPr/>
          </xdr14:nvContentPartPr>
          <xdr14:nvPr macro=""/>
          <xdr14:xfrm>
            <a:off x="18462600" y="2572200"/>
            <a:ext cx="175680" cy="986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46E932B-26A3-C35B-8705-AA6D3A062BF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8456480" y="2566080"/>
              <a:ext cx="18792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526000</xdr:colOff>
      <xdr:row>50</xdr:row>
      <xdr:rowOff>85720</xdr:rowOff>
    </xdr:from>
    <xdr:to>
      <xdr:col>23</xdr:col>
      <xdr:colOff>688360</xdr:colOff>
      <xdr:row>52</xdr:row>
      <xdr:rowOff>193760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0F15381-EAC7-F6BC-E26F-3DD64F13E0C8}"/>
                </a:ext>
              </a:extLst>
            </xdr14:cNvPr>
            <xdr14:cNvContentPartPr/>
          </xdr14:nvContentPartPr>
          <xdr14:nvPr macro=""/>
          <xdr14:xfrm>
            <a:off x="22146480" y="10550520"/>
            <a:ext cx="1808280" cy="51444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00F15381-EAC7-F6BC-E26F-3DD64F13E0C8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2140406" y="10544400"/>
              <a:ext cx="1820428" cy="52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221800</xdr:colOff>
      <xdr:row>57</xdr:row>
      <xdr:rowOff>163080</xdr:rowOff>
    </xdr:from>
    <xdr:to>
      <xdr:col>26</xdr:col>
      <xdr:colOff>131800</xdr:colOff>
      <xdr:row>60</xdr:row>
      <xdr:rowOff>110400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BED1E85-5119-F24B-DC4E-CBA8628BD04C}"/>
                </a:ext>
              </a:extLst>
            </xdr14:cNvPr>
            <xdr14:cNvContentPartPr/>
          </xdr14:nvContentPartPr>
          <xdr14:nvPr macro=""/>
          <xdr14:xfrm>
            <a:off x="20196360" y="12050280"/>
            <a:ext cx="5670720" cy="55692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BED1E85-5119-F24B-DC4E-CBA8628BD04C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0190291" y="12044160"/>
              <a:ext cx="5682858" cy="56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556627</xdr:colOff>
      <xdr:row>52</xdr:row>
      <xdr:rowOff>202400</xdr:rowOff>
    </xdr:from>
    <xdr:to>
      <xdr:col>30</xdr:col>
      <xdr:colOff>423413</xdr:colOff>
      <xdr:row>90</xdr:row>
      <xdr:rowOff>50880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3337D3F0-6E31-3C9B-ECF5-2F92936790EB}"/>
                </a:ext>
              </a:extLst>
            </xdr14:cNvPr>
            <xdr14:cNvContentPartPr/>
          </xdr14:nvContentPartPr>
          <xdr14:nvPr macro=""/>
          <xdr14:xfrm>
            <a:off x="16473960" y="11242933"/>
            <a:ext cx="13142520" cy="757008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3337D3F0-6E31-3C9B-ECF5-2F92936790E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6467840" y="11236813"/>
              <a:ext cx="13154760" cy="7582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1245564</xdr:colOff>
      <xdr:row>0</xdr:row>
      <xdr:rowOff>0</xdr:rowOff>
    </xdr:from>
    <xdr:to>
      <xdr:col>4</xdr:col>
      <xdr:colOff>1022762</xdr:colOff>
      <xdr:row>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93BB845-F0C5-20AE-1034-7BCBEF3AF57C}"/>
                </a:ext>
              </a:extLst>
            </xdr14:cNvPr>
            <xdr14:cNvContentPartPr/>
          </xdr14:nvContentPartPr>
          <xdr14:nvPr macro=""/>
          <xdr14:xfrm>
            <a:off x="5253120" y="4612320"/>
            <a:ext cx="100584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93BB845-F0C5-20AE-1034-7BCBEF3AF57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247000" y="4606200"/>
              <a:ext cx="10180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328941</xdr:colOff>
      <xdr:row>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E422C91-DE4C-6815-9063-5BF338923BB9}"/>
                </a:ext>
              </a:extLst>
            </xdr14:cNvPr>
            <xdr14:cNvContentPartPr/>
          </xdr14:nvContentPartPr>
          <xdr14:nvPr macro=""/>
          <xdr14:xfrm>
            <a:off x="6758640" y="4548960"/>
            <a:ext cx="32472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E422C91-DE4C-6815-9063-5BF338923BB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752520" y="4542840"/>
              <a:ext cx="3369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134542</xdr:colOff>
      <xdr:row>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EC83EE4-05DD-EF10-A013-F42BE072C3FF}"/>
                </a:ext>
              </a:extLst>
            </xdr14:cNvPr>
            <xdr14:cNvContentPartPr/>
          </xdr14:nvContentPartPr>
          <xdr14:nvPr macro=""/>
          <xdr14:xfrm>
            <a:off x="8322120" y="4592880"/>
            <a:ext cx="13032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EC83EE4-05DD-EF10-A013-F42BE072C3F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316000" y="4586760"/>
              <a:ext cx="1425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1155929</xdr:colOff>
      <xdr:row>0</xdr:row>
      <xdr:rowOff>0</xdr:rowOff>
    </xdr:from>
    <xdr:to>
      <xdr:col>4</xdr:col>
      <xdr:colOff>153825</xdr:colOff>
      <xdr:row>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AFB798C-8BDB-2622-E226-EA997ACE6F84}"/>
                </a:ext>
              </a:extLst>
            </xdr14:cNvPr>
            <xdr14:cNvContentPartPr/>
          </xdr14:nvContentPartPr>
          <xdr14:nvPr macro=""/>
          <xdr14:xfrm>
            <a:off x="9806040" y="4518360"/>
            <a:ext cx="15084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AFB798C-8BDB-2622-E226-EA997ACE6F8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799920" y="4512240"/>
              <a:ext cx="1630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503346</xdr:colOff>
      <xdr:row>3</xdr:row>
      <xdr:rowOff>185911</xdr:rowOff>
    </xdr:from>
    <xdr:to>
      <xdr:col>9</xdr:col>
      <xdr:colOff>104564</xdr:colOff>
      <xdr:row>6</xdr:row>
      <xdr:rowOff>77597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A3620C1-75BA-B9A5-11F9-F1F095161F4C}"/>
                </a:ext>
              </a:extLst>
            </xdr14:cNvPr>
            <xdr14:cNvContentPartPr/>
          </xdr14:nvContentPartPr>
          <xdr14:nvPr macro=""/>
          <xdr14:xfrm>
            <a:off x="12485520" y="848520"/>
            <a:ext cx="429480" cy="5101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A3620C1-75BA-B9A5-11F9-F1F095161F4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479400" y="842400"/>
              <a:ext cx="441720" cy="52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710640</xdr:colOff>
      <xdr:row>1</xdr:row>
      <xdr:rowOff>155147</xdr:rowOff>
    </xdr:from>
    <xdr:to>
      <xdr:col>1</xdr:col>
      <xdr:colOff>1752547</xdr:colOff>
      <xdr:row>3</xdr:row>
      <xdr:rowOff>154093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D9FD867-9F8D-2EEB-6D49-B860D5C1852E}"/>
                </a:ext>
              </a:extLst>
            </xdr14:cNvPr>
            <xdr14:cNvContentPartPr/>
          </xdr14:nvContentPartPr>
          <xdr14:nvPr macro=""/>
          <xdr14:xfrm>
            <a:off x="710640" y="400680"/>
            <a:ext cx="1871640" cy="4222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D9FD867-9F8D-2EEB-6D49-B860D5C1852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04520" y="394560"/>
              <a:ext cx="1883880" cy="43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1025707</xdr:colOff>
      <xdr:row>2</xdr:row>
      <xdr:rowOff>16747</xdr:rowOff>
    </xdr:from>
    <xdr:to>
      <xdr:col>1</xdr:col>
      <xdr:colOff>1156387</xdr:colOff>
      <xdr:row>2</xdr:row>
      <xdr:rowOff>22147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F5ECF32-E328-D567-64FA-5954797C99CD}"/>
                </a:ext>
              </a:extLst>
            </xdr14:cNvPr>
            <xdr14:cNvContentPartPr/>
          </xdr14:nvContentPartPr>
          <xdr14:nvPr macro=""/>
          <xdr14:xfrm>
            <a:off x="1855440" y="465480"/>
            <a:ext cx="130680" cy="54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F5ECF32-E328-D567-64FA-5954797C99C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849320" y="459360"/>
              <a:ext cx="142920" cy="1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987920</xdr:colOff>
      <xdr:row>8</xdr:row>
      <xdr:rowOff>161600</xdr:rowOff>
    </xdr:from>
    <xdr:to>
      <xdr:col>4</xdr:col>
      <xdr:colOff>253800</xdr:colOff>
      <xdr:row>15</xdr:row>
      <xdr:rowOff>83280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73DCC0C-A752-C022-A484-C80F106DB6C2}"/>
                </a:ext>
              </a:extLst>
            </xdr14:cNvPr>
            <xdr14:cNvContentPartPr/>
          </xdr14:nvContentPartPr>
          <xdr14:nvPr macro=""/>
          <xdr14:xfrm>
            <a:off x="5641200" y="1858320"/>
            <a:ext cx="373320" cy="13644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73DCC0C-A752-C022-A484-C80F106DB6C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635080" y="1852200"/>
              <a:ext cx="385560" cy="137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39727</xdr:colOff>
      <xdr:row>10</xdr:row>
      <xdr:rowOff>68597</xdr:rowOff>
    </xdr:from>
    <xdr:to>
      <xdr:col>4</xdr:col>
      <xdr:colOff>177967</xdr:colOff>
      <xdr:row>13</xdr:row>
      <xdr:rowOff>156053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CFE74D0-8CA8-BA66-7D94-5B121C54D956}"/>
                </a:ext>
              </a:extLst>
            </xdr14:cNvPr>
            <xdr14:cNvContentPartPr/>
          </xdr14:nvContentPartPr>
          <xdr14:nvPr macro=""/>
          <xdr14:xfrm>
            <a:off x="5798520" y="2207160"/>
            <a:ext cx="138240" cy="7005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CFE74D0-8CA8-BA66-7D94-5B121C54D95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792400" y="2201040"/>
              <a:ext cx="150480" cy="71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681967</xdr:colOff>
      <xdr:row>10</xdr:row>
      <xdr:rowOff>93797</xdr:rowOff>
    </xdr:from>
    <xdr:to>
      <xdr:col>4</xdr:col>
      <xdr:colOff>736687</xdr:colOff>
      <xdr:row>11</xdr:row>
      <xdr:rowOff>37029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04131C0-3A9F-FAC6-BE94-D7A941F834E1}"/>
                </a:ext>
              </a:extLst>
            </xdr14:cNvPr>
            <xdr14:cNvContentPartPr/>
          </xdr14:nvContentPartPr>
          <xdr14:nvPr macro=""/>
          <xdr14:xfrm>
            <a:off x="6440760" y="2232360"/>
            <a:ext cx="54720" cy="14760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04131C0-3A9F-FAC6-BE94-D7A941F834E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434640" y="2226255"/>
              <a:ext cx="66960" cy="1598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924247</xdr:colOff>
      <xdr:row>10</xdr:row>
      <xdr:rowOff>30797</xdr:rowOff>
    </xdr:from>
    <xdr:to>
      <xdr:col>4</xdr:col>
      <xdr:colOff>1317007</xdr:colOff>
      <xdr:row>13</xdr:row>
      <xdr:rowOff>181253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F2935928-52A5-EB75-4EDC-01141EEE687D}"/>
                </a:ext>
              </a:extLst>
            </xdr14:cNvPr>
            <xdr14:cNvContentPartPr/>
          </xdr14:nvContentPartPr>
          <xdr14:nvPr macro=""/>
          <xdr14:xfrm>
            <a:off x="6683040" y="2169360"/>
            <a:ext cx="392760" cy="7635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F2935928-52A5-EB75-4EDC-01141EEE687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676920" y="2163240"/>
              <a:ext cx="405000" cy="77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660533</xdr:colOff>
      <xdr:row>10</xdr:row>
      <xdr:rowOff>43757</xdr:rowOff>
    </xdr:from>
    <xdr:to>
      <xdr:col>3</xdr:col>
      <xdr:colOff>792293</xdr:colOff>
      <xdr:row>10</xdr:row>
      <xdr:rowOff>162197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06CA724-D5D9-C53F-52D2-5ABDAFD66402}"/>
                </a:ext>
              </a:extLst>
            </xdr14:cNvPr>
            <xdr14:cNvContentPartPr/>
          </xdr14:nvContentPartPr>
          <xdr14:nvPr macro=""/>
          <xdr14:xfrm>
            <a:off x="5317200" y="2182320"/>
            <a:ext cx="131760" cy="1184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906CA724-D5D9-C53F-52D2-5ABDAFD6640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311080" y="2176200"/>
              <a:ext cx="14400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654773</xdr:colOff>
      <xdr:row>11</xdr:row>
      <xdr:rowOff>6069</xdr:rowOff>
    </xdr:from>
    <xdr:to>
      <xdr:col>3</xdr:col>
      <xdr:colOff>798053</xdr:colOff>
      <xdr:row>11</xdr:row>
      <xdr:rowOff>113349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A55FF6A-CE90-745E-576A-6BF912F74F97}"/>
                </a:ext>
              </a:extLst>
            </xdr14:cNvPr>
            <xdr14:cNvContentPartPr/>
          </xdr14:nvContentPartPr>
          <xdr14:nvPr macro=""/>
          <xdr14:xfrm>
            <a:off x="5311440" y="2349000"/>
            <a:ext cx="143280" cy="10728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A55FF6A-CE90-745E-576A-6BF912F74F9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305320" y="2342880"/>
              <a:ext cx="15552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645413</xdr:colOff>
      <xdr:row>12</xdr:row>
      <xdr:rowOff>63061</xdr:rowOff>
    </xdr:from>
    <xdr:to>
      <xdr:col>3</xdr:col>
      <xdr:colOff>785093</xdr:colOff>
      <xdr:row>12</xdr:row>
      <xdr:rowOff>152341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A3E16D73-B9D7-4587-6537-B1BF3F40E037}"/>
                </a:ext>
              </a:extLst>
            </xdr14:cNvPr>
            <xdr14:cNvContentPartPr/>
          </xdr14:nvContentPartPr>
          <xdr14:nvPr macro=""/>
          <xdr14:xfrm>
            <a:off x="5302080" y="2610360"/>
            <a:ext cx="139680" cy="8928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A3E16D73-B9D7-4587-6537-B1BF3F40E037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295960" y="2604240"/>
              <a:ext cx="15192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722813</xdr:colOff>
      <xdr:row>13</xdr:row>
      <xdr:rowOff>91973</xdr:rowOff>
    </xdr:from>
    <xdr:to>
      <xdr:col>3</xdr:col>
      <xdr:colOff>871853</xdr:colOff>
      <xdr:row>13</xdr:row>
      <xdr:rowOff>153533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C5DB4DED-A5CB-9AFF-2902-D144CF94C80E}"/>
                </a:ext>
              </a:extLst>
            </xdr14:cNvPr>
            <xdr14:cNvContentPartPr/>
          </xdr14:nvContentPartPr>
          <xdr14:nvPr macro=""/>
          <xdr14:xfrm>
            <a:off x="5379480" y="2843640"/>
            <a:ext cx="149040" cy="6156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C5DB4DED-A5CB-9AFF-2902-D144CF94C80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373360" y="2837520"/>
              <a:ext cx="161280" cy="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1516442</xdr:colOff>
      <xdr:row>0</xdr:row>
      <xdr:rowOff>0</xdr:rowOff>
    </xdr:from>
    <xdr:to>
      <xdr:col>7</xdr:col>
      <xdr:colOff>165736</xdr:colOff>
      <xdr:row>0</xdr:row>
      <xdr:rowOff>156462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F14776F9-48D4-7A05-9BF2-B184F3608D43}"/>
                </a:ext>
              </a:extLst>
            </xdr14:cNvPr>
            <xdr14:cNvContentPartPr/>
          </xdr14:nvContentPartPr>
          <xdr14:nvPr macro=""/>
          <xdr14:xfrm>
            <a:off x="10787442" y="0"/>
            <a:ext cx="1079227" cy="156462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F14776F9-48D4-7A05-9BF2-B184F3608D4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781300" y="-6171"/>
              <a:ext cx="1091511" cy="1688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419203</xdr:colOff>
      <xdr:row>5</xdr:row>
      <xdr:rowOff>101423</xdr:rowOff>
    </xdr:from>
    <xdr:to>
      <xdr:col>7</xdr:col>
      <xdr:colOff>630523</xdr:colOff>
      <xdr:row>5</xdr:row>
      <xdr:rowOff>173063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78EEE92-6DDA-B046-0004-BDC1224DE926}"/>
                </a:ext>
              </a:extLst>
            </xdr14:cNvPr>
            <xdr14:cNvContentPartPr/>
          </xdr14:nvContentPartPr>
          <xdr14:nvPr macro=""/>
          <xdr14:xfrm>
            <a:off x="11352600" y="1192320"/>
            <a:ext cx="211320" cy="7164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78EEE92-6DDA-B046-0004-BDC1224DE92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1346480" y="1186200"/>
              <a:ext cx="22356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577228</xdr:colOff>
      <xdr:row>8</xdr:row>
      <xdr:rowOff>18884</xdr:rowOff>
    </xdr:from>
    <xdr:to>
      <xdr:col>9</xdr:col>
      <xdr:colOff>179587</xdr:colOff>
      <xdr:row>18</xdr:row>
      <xdr:rowOff>140141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64C47769-CF26-7049-1B69-E12238D23E23}"/>
                </a:ext>
              </a:extLst>
            </xdr14:cNvPr>
            <xdr14:cNvContentPartPr/>
          </xdr14:nvContentPartPr>
          <xdr14:nvPr macro=""/>
          <xdr14:xfrm>
            <a:off x="9084600" y="1736640"/>
            <a:ext cx="3892680" cy="220536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64C47769-CF26-7049-1B69-E12238D23E23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9078484" y="1730482"/>
              <a:ext cx="3904912" cy="22176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2216308</xdr:colOff>
      <xdr:row>3</xdr:row>
      <xdr:rowOff>61436</xdr:rowOff>
    </xdr:from>
    <xdr:to>
      <xdr:col>7</xdr:col>
      <xdr:colOff>637362</xdr:colOff>
      <xdr:row>5</xdr:row>
      <xdr:rowOff>10343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84E58BED-E144-3CAB-24C3-B66C87BC1793}"/>
                </a:ext>
              </a:extLst>
            </xdr14:cNvPr>
            <xdr14:cNvContentPartPr/>
          </xdr14:nvContentPartPr>
          <xdr14:nvPr macro=""/>
          <xdr14:xfrm>
            <a:off x="10723680" y="729000"/>
            <a:ext cx="847080" cy="37224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84E58BED-E144-3CAB-24C3-B66C87BC1793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0717560" y="722880"/>
              <a:ext cx="859320" cy="38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2149708</xdr:colOff>
      <xdr:row>6</xdr:row>
      <xdr:rowOff>15617</xdr:rowOff>
    </xdr:from>
    <xdr:to>
      <xdr:col>7</xdr:col>
      <xdr:colOff>955602</xdr:colOff>
      <xdr:row>6</xdr:row>
      <xdr:rowOff>17057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B7E1BA21-7FF0-A854-A871-7F05E2A2F706}"/>
                </a:ext>
              </a:extLst>
            </xdr14:cNvPr>
            <xdr14:cNvContentPartPr/>
          </xdr14:nvContentPartPr>
          <xdr14:nvPr macro=""/>
          <xdr14:xfrm>
            <a:off x="10657080" y="1310040"/>
            <a:ext cx="1231920" cy="144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B7E1BA21-7FF0-A854-A871-7F05E2A2F706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0650960" y="1303920"/>
              <a:ext cx="1244160" cy="13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6:54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0 191 24575,'0'6'0,"0"2"0,0 4 0,2 2 0,6 4 0,9 3 0,10 0 0,18 0 0,14-2 0,21-4 0,-29-8 0,3-2-612,14-1 0,5-1 612,9-1 0,5 0 0,-14-2 0,4 1 0,3-1 0,11 0 0,4-1 0,2-1 0,-17 0 0,2-1 0,1-1 0,4-1-919,-4 1 1,3-1 0,3-1 0,-2 1 0,-1-1 918,11 0 0,-2-1 0,0 0 0,-2 0 0,-4 1 0,0 0 0,-3 0 0,-2 1 0,13 1 0,-4 0 0,-6 2-928,12 0 0,-4 1 928,-23 0 0,1 0 0,-1 1 0,27-1 0,-2 0-669,-1 1 1,-1-1 668,-9 1 0,-2 0 10,-10 0 1,-2-1-11,-8 1 0,-2 0 1647,-8 0 0,-1 0-1647,43 0 0,-6 0 0,9 0 0,-49 0 0,0 0 0,2 0 0,1 0 0,1 0 0,1 0 0,-2 0 0,1 0 0,4 0 0,1 0 0,0 0 0,1 0 0,0-1 0,0 1 0,-2 0 0,0 0 0,-1 0 0,-1 0 0,-3 0 0,1 0 0,-3 0 0,-1 0 0,44 0 0,-6 0 0,-3 0 0,-6 0 0,-2 0 0,-2 0 0,-1 1 0,5 3 2143,11 3-2143,-39-2 0,2-2 986,1 1 1,0-2-987,0 0 0,0 0 1165,41-2-1165,-24 0 412,-13 0-412,-16 0 0,-8 0 0,3 0 0,-1 0 0,0 0 0,-1 0 0,-1 0 0,-2 0 0,5 0 0,1 0 0,-1 0 0,-4 0 0,-6 0 0,-4 0 0,-3 0 0,0 0 0,-2 0 0,-1 0 0,-3 0 0,-2 0 0,-3 0 0,-1 0 0,-3 0 0,0-1 0,-2-1 0,-2-2 0,0-3 0,-1-2 0,-1-2 0,-1-4 0,-3 0 0,-1 2 0,-2 3 0,2 3 0,0 0 0,1 1 0,0 1 0,1 1 0,0-1 0,-1 2 0,1 1 0,0 0 0,0 2 0,0 0 0,1-1 0,-1 0 0,0-2 0,1 0 0,-1 0 0,0-2 0,1 0 0,-1 0 0,1-2 0,0 1 0,0 0 0,-1 1 0,1 2 0,0 1 0,0 1 0,0 0 0,1-2 0,1 0 0,-1-2 0,1 0 0,0-2 0,0-3 0,0-5 0,1-3 0,0 1 0,0 5 0,0 6 0,-1 5 0,-1 6 0,0 0 0,0 3 0,0 1 0,0 1 0,0-1 0,0 1 0,0-2 0,1 1 0,-1-1 0,1 0 0,0-1 0,-1-1 0,0 1 0,0-1 0,0 0 0,0 0 0,0 0 0,-1 0 0,1-1 0,-1 0 0,0-1 0,1 0 0,-1 0 0,-1 1 0,2-1 0,-1 1 0,0-3 0,2-1 0,0-2 0,2-2 0,0 0 0,1-1 0,1 0 0,0-1 0,-1 0 0,0 0 0,-1-1 0,0 2 0,-1 2 0,0 6 0,0 1 0,0 2 0,0-3 0,0-1 0,0 1 0,0 0 0,0 1 0,0 0 0,0 0 0,0 0 0,0-1 0,0-2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7:02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24575,'4'2'0,"22"-1"0,2-1 0,31 0 0,-1 0 0,6 0 0,-3 0 0,-22 0 0,-15 0 0,-14 0 0,-5 0 0,1 0 0,-1 0 0,2 0 0,-1 0 0,1 0 0,-1 0 0,0 0 0,-1 0 0,0 0 0,-2 0 0,-3 0 0,-3 0 0,-3 0 0,-2 0 0,1 0 0,-4 0 0,0 0 0,-4 1 0,-5 1 0,-7 1 0,-11 1 0,-4 0 0,4 0 0,8 0 0,11-2 0,7-1 0,0-1 0,2 1 0,2-1 0,2 0 0,4-1 0,4 0 0,4-2 0,3-1 0,2 0 0,0 1 0,-1 2 0,-2 0 0,-2 1 0,0 0 0,-4 0 0,0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7:03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24575,'-5'0'0,"2"0"0,12 0 0,3 0 0,14 0 0,-1 0 0,9 0 0,6 0 0,10 0 0,-1 0 0,0 0 0,3 0 0,0 0 0,1 0 0,-11 0 0,-17 0 0,-16 0 0,-8 0 0,-8 0 0,0 0 0,-5 0 0,2 0 0,-2 0 0,-2 0 0,-2 0 0,-1 0 0,-1 0 0,-1 0 0,3 0 0,0 0 0,3 0 0,1 1 0,1 1 0,1 0 0,2 0 0,0-1 0,2-1 0,-1 0 0,0 0 0,3 0 0,1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7:07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7542 99 24575,'-4'6'0,"-3"1"0,-7 1 0,-16 4 0,-17 7 0,-24 5 0,-21 4-616,38-14 0,-2-1 616,0 0 0,-2-1 0,-11 0 0,-3 0 0,-6-1 0,-2 0-1080,-7 0 0,-3-1 1080,-7-1 0,0 0 0,2-1 0,1-1 0,-6-1 0,0-1 0,-1-1 0,2-1 0,6 0 0,1-2 0,5 0 0,2-1-619,6 1 1,2-1 618,3 0 0,2 0 0,2 0 0,3 0-197,7 0 1,4 0 196,-41 0 0,10 0 0,2-2 990,-13-3-990,41 1 0,-2-1 1039,-5 0 0,-1 1-1039,-3 0 0,1 0 0,4 2 0,3 1 0,-33-1 1446,24 3-1446,20 1 508,17 1-508,-4 1 0,8 0 0,5 0 0,1-1 0,-10-2 0,-8 0 0,-34-1 0,-26 0 0,30 0 0,-7 0 0,11 0 0,-3 0 0,-4 0-529,-17 0 1,-5 0 0,-2 0 528,16 0 0,-2 0 0,-1 0 0,0 0 0,-3 0 0,0 0 0,0 0 0,2 0-798,-15 0 0,2 0 0,6 0 798,20 0 0,4 0 0,3 0 0,-14 0 0,7 0-257,18 0 1,2 0 256,-3 0 0,1 1 0,-43 3-119,7 2 119,13 3 1331,11 0-1331,8 0 2495,8-2-2495,1 0 632,3 0-632,-3 1 153,1 1-153,2-1 0,2 1 0,4-2 0,1 0 0,1-2 0,2-1 0,4-1 0,4-3 0,4-4 0,4-5 0,1-5 0,2-2 0,0 0 0,2 0 0,0 2 0,1 0 0,-2 0 0,-1-4 0,-1-8 0,0-9 0,3-3 0,2 1 0,3 10 0,2 10 0,3 7 0,0 4 0,0-2 0,1-1 0,-1-3 0,2-1 0,-1-3 0,1 0 0,0-1 0,0 1 0,0 2 0,1 3 0,0 1 0,1 5 0,1 1 0,0 4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7:13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24575,'2'-4'0,"6"2"0,9 0 0,18 2 0,17 0 0,18-2 0,16-1-973,11-2 973,-43 3 0,2-1 0,3 1 0,1 0 0,0 0 0,-1-1 0,-1 1 0,-1 0 0,42-1 81,-15-2-81,-13 1 0,-13-1 0,-6 2 0,-12 1 0,-10 0 728,-10 1-728,-5-1 164,-5 2-164,-3 0 0,-3 0 0,-2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7:37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1 104 24575,'3'3'0,"0"-1"0,1-2 0,2 0 0,2 0 0,1 0 0,2 0 0,3 0 0,3 0 0,6 0 0,-1 0 0,-2 0 0,-3 0 0,-2-1 0,2 0 0,0 0 0,2 0 0,-2 0 0,0 0 0,-3 1 0,-3 0 0,-2 0 0,-2 0 0,0 0 0,-1 0 0,-1-2 0,0-1 0,-1-3 0,-1-1 0,-1-2 0,1-1 0,-1 1 0,1 1 0,0 0 0,-1 1 0,1 0 0,-1 1 0,-1 1 0,0 1 0,1 0 0,-1 1 0,0 1 0,-1 0 0</inkml:trace>
  <inkml:trace contextRef="#ctx0" brushRef="#br0" timeOffset="2052">357 5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7:43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24575,'6'0'0,"3"0"0,4 0 0,8 0 0,5 0 0,6 0 0,3 0 0,-3 0 0,2 0 0,-5 0 0,-1 0 0,-6 0 0,-5 0 0,-6 0 0,-4 0 0,-1 0 0,2 0 0,3 0 0,0 0 0,-1 0 0,-4 0 0,-3 0 0,-1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7:49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7294 142 24575,'-3'9'0,"1"4"0,2 8 0,0 8 0,0 2 0,0 1 0,0 0 0,0-4 0,0-5 0,0-4 0,-3-7 0,-21-6 0,-53-4 0,16-1 0,-6-1 0,-21 0 0,-3 0 0,3 0 0,-1 0-924,5-1 0,1 2 924,5-1 0,1 1 0,3 0 0,0 0 0,-4 0 0,0 0 0,0 1 0,-1-1 0,-7-1 0,-3 1-1276,-7-2 1,-2 0 1275,27 0 0,-2-1 0,-1 0 0,-1-2 0,0 0 0,-1-2 0,-1-1 0,-1-1 0,1-2 0,-1-1 0,1-1 0,-1 0-853,-1-2 0,0 0 1,0 0 852,0-1 0,0-1 0,-1 1 0,1 0 0,-1 0 0,1 1 0,-1-1 0,0 2 0,0-1 0,1 1 0,-1 0 0,3 1 0,4 1 0,2 1 0,0 0-661,-27-3 1,1 2 660,8 1 0,1 1 0,7 1 0,1 1 0,1 1 0,2 0 248,6 2 1,3 0-249,6 2 0,2 0 0,4 1 0,1 0 881,3 1 0,2 0-881,-45-1 0,0 1 0,-2 3 1000,45 1 1,0 1-1001,-2 1 0,1 1 0,1 1 0,1 0 1760,-39 6-1760,6-1 1023,-7-4-1023,-5-4 167,45-3 1,1-1-168,-39-1 875,17 0-875,15 1 25,11 1-25,8 2 0,7 1 0,-2 1 0,1 0 0,-4 3 0,0 1 0,-1 0 0,0 2 0,-1 0 0,1-1 0,0 0 0,0-1 0,3-2 0,1 0 0,2-1 0,4-2 0,2-2 0,5-2 0,3-1 0,3 1 0,2-1 0,0 0 0,2 0 0,0-1 0,1-2 0,0-3 0,1-3 0,0-3 0,0-5 0,0-5 0,1-6 0,2-3 0,1 3 0,1 5 0,1 12 0,1 5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7:51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0 265 24575,'2'5'0,"4"-2"0,9-6 0,13-8 0,12-8 0,11-12 0,2-3 0,1-3 0,-2 2 0,-7 5 0,-3 4 0,-8 6 0,-7 5 0,-6 8 0,-11 3 0,-3 4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19:50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344 912 24575,'0'-8'0,"0"-22"0,0-18 0,0-14 0,0-2 0,0 13 0,0 5 0,0 8 0,0 6 0,0 16 0,0 20 0,0 26 0,4 24 0,6 21 0,5 7 0,4-1 0,2-3 0,1-12 0,0-9 0,0-13 0,-4-14 0,-6-11 0,-3-7 0,-5-4 0,-11-1 0,-19 1 0,-47 19 0,22-6 0,-3 3 0,-6 4 0,0 1 0,4 0 0,6 0 0,-9 10 0,34-17 0,31-13 0,23-9 0,18-9 0,22-9 0,11-6 0,11-4-477,-1 1 477,-5 1 0,-7 2 0,-15 6 0,-13 3 0,-16 6 0,-11 3 0,-11 3 0,-5 2 0</inkml:trace>
  <inkml:trace contextRef="#ctx0" brushRef="#br0" timeOffset="542">2474 696 24575,'-48'0'0,"17"0"0,-1 0 0,23 0 0,13 0 0,18 0 0,28 0 0,23 0 0,24 0 0,-40 0 0,2 0 0,-2-2 0,-4 1 0,15 0 0,-26-2 0</inkml:trace>
  <inkml:trace contextRef="#ctx0" brushRef="#br0" timeOffset="941">3405 397 24575,'0'67'0,"0"-7"0,0 3 0,2-13 0,2 6 0,7 19 0,4 5 0,0 9 0,2-1 0,1-8 0,0-5 0,-4-19 0,-1-8 0,-3 1 0,-4-28 0,-5-17 0</inkml:trace>
  <inkml:trace contextRef="#ctx0" brushRef="#br0" timeOffset="1561">3802 543 24575,'0'-7'0,"8"3"0,11 0 0,12 4 0,2 0 0,3 0 0,-3 0 0,-4 0 0,-1 0 0,-6 3 0,-7 6 0,-5 11 0,-6 12 0,-3 15 0,-2 6 0,-6 2 0,-6-3 0,-3-7 0,-2-6 0,3-8 0,5-8 0,2-8 0,6-4 0,14-5 0,13-3 0,48-11 0,-16-2 0,0-1 0,18-3 0,4-4 0</inkml:trace>
  <inkml:trace contextRef="#ctx0" brushRef="#br0" timeOffset="2174">5010 1 24575,'-33'0'0,"8"0"0,-13 0 0,3 0 0,-3 6 0,2 7 0,9 15 0,7 6 0,6 6 0,6 3 0,7 8 0,0 9 0,0 3 0,1 11 0,0-9 0,2-11 0,10-20 0,6-23 0,5-10 0,0-5 0,-5-3 0,1-7 0,1-8 0,0-8 0,-1-6 0,-1 0 0,-3-4 0,-2 2 0,-2-1 0,-1 1 0,-4 6 0,-1 2 0,-2 4 0,-1 3 0,-3 2 0,-3 3 0,-4 0 0,-3 2 0,-2 2 0,1 3 0,1 3 0,1 3 0,2 2 0,0 2 0,3 1 0,2 0 0</inkml:trace>
  <inkml:trace contextRef="#ctx0" brushRef="#br0" timeOffset="3125">4666 728 24575,'-21'28'0,"8"-7"0,2 3 0,10-6 0,-2 2 0,2 0 0,0 0 0,0-1 0,1-1 0,0-1 0,0-2 0,1-1 0,3-4 0,4-2 0,6-5 0,4-3 0,7 0 0,3-1 0,7-3 0,1-2 0,3-7 0,-1-2 0,-1-4 0,-1-1 0,-4 0 0,-1-3 0,-4-2 0,-7-4 0,-7-13 0,-9-14 0,-21-11 0,-18 3 0,-16 17 0,3 20 0,17 15 0,12 9 0,7 3 0,1-1 0,-1 1 0,1 3 0,-1 4 0,2 4 0,-1 4 0,0-1 0,1-1 0,1-2 0,2-2 0,4-5 0,0-1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0:00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0 713 24575,'0'-3'0,"0"6"0,0 16 0,0 16 0,0 15 0,0 18 0,0 1 0,0 7 0,0-1 0,0-3 0,0 1 0,0-5 0,0-2 0,0-8 0,0-12 0,0-11 0,0-21 0,0-5 0</inkml:trace>
  <inkml:trace contextRef="#ctx0" brushRef="#br0" timeOffset="766">766 607 24575,'-9'0'0,"1"1"0,-1 5 0,0 7 0,1 6 0,2 8 0,1 1 0,4 4 0,0 3 0,1-1 0,0-1 0,0-4 0,0-1 0,0-1 0,-1 1 0,1 7 0,0 1 0,2 17 0,8 8 0,11 1 0,10-7 0,7-26 0,-2-16 0,-8-14 0,-5-7 0,-6-6 0,1-6 0,1-3 0,-2-4 0,-1-3 0,-2-2 0,-3-6 0,-3-3 0,-3-4 0,-2 0 0,-2 1 0,-3 2 0,-6 4 0,-5 6 0,-7 6 0,-2 5 0,-1 7 0,1 4 0,1 3 0,3 4 0,3 1 0,2 2 0,2 0 0,3-1 0,0 1 0,0 0 0,4 0 0,1 0 0</inkml:trace>
  <inkml:trace contextRef="#ctx0" brushRef="#br0" timeOffset="1525">1330 727 24575,'65'0'0,"-26"0"0,-8 0 0,-30-1 0,-6 3 0,-6 7 0,1 10 0,3 24 0,4 19 0,3 13 0,0 1 0,0-18 0,4-22 0,8-16 0,10-11 0,13-3 0,13 0 0,7 0 0,6 0 0,2 0 0,-2-2 0,-2 0 0,-5-3 0,-8 0 0,-9-7 0,-11-8 0,-9-12 0,-7-16 0,-6-6 0,-4-4 0,-5 1 0,-5 5 0,-6 5 0,-3 7 0,-4 8 0,1 10 0,-3 6 0,2 6 0,0 3 0,1 1 0,0 0 0,-5 2 0,-5 1 0,-2 2 0,6-1 0,13-2 0,7-2 0</inkml:trace>
  <inkml:trace contextRef="#ctx0" brushRef="#br0" timeOffset="2909">14076 73 24575,'12'0'0,"5"0"0,15 0 0,19 0 0,9 0 0,5 0 0,-4 0 0,-11 0 0,-4 1 0,-13 3 0,-9 4 0,-10 5 0,-6 3 0,-4 1 0,-10 6 0,-8 3 0,-12 10 0,-9 6 0,1 1 0,0 5 0,4 1 0,4-1 0,5-2 0,8-5 0,6-8 0,4-6 0,1-5 0,3-5 0,33-6 0,58-9 0,-24-8 0,5-5 0,12-4 0,-1-4 0,-13-1 0,-7-1 0,9-9 0,-40 13 0</inkml:trace>
  <inkml:trace contextRef="#ctx0" brushRef="#br0" timeOffset="3683">15587 16 20093,'-1'-8'0,"-5"4"2103,-5 1-2103,-4 3 760,-3 0-760,-3 1 392,0 16-392,0 21 1227,5 22-1227,7 15 0,7-1 0,2-15 0,0-11 0,0-12 0,1-3 0,3 1 0,6-2 0,7-3 0,5-4 0,5-3 0,3-5 0,2-4 0,3-4 0,-1-3 0,-2-1 0,-2-5 0,-3-6 0,-4-8 0,-3-11 0,-1-8 0,-3-5 0,-1-4 0,-2 2 0,-1-1 0,-4 1 0,-2 4 0,-2 3 0,-4 4 0,-2 3 0,-4 3 0,-6 4 0,-5 3 0,-6 1 0,-6-2 0,-5-2 0,-6 0 0,-1 1 0,7 7 0,7 4 0,7 2 0,6 3 0,-2-2 0,3 0 0,1 1 0,1 1 0,6 1 0,1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0:21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5592 11384 24575,'0'31'0,"0"32"0,0 4 0,0 12-3277,3-9 0,0 5 0,2 2 2950,0 10 0,0 2 1,2 7 326,-1-22 0,0 5 0,1 3 0,1 1 0,0 1-482,2 8 1,1 4-1,0 0 1,1 0 0,-1-1 481,0-7 0,-1-1 0,0 0 0,1 2 0,1 2 0,0-3 0,0 2 0,1 3 0,0-1 0,0 0 0,0-3-143,0 7 0,0-2 0,0-1 1,-1-1-1,1 0 143,-2-7 0,1 0 0,-1-2 0,0 1 0,0 0-311,1 3 0,-1 2 0,0-1 1,0-3-1,-1-5 311,3 19 0,0-6 0,-1-1 627,2-3 0,-1-1 1,0 1-628,-2 8 0,0 1 0,-2-11 0,1-18 0,-2-6 0,-4 3 0,1 0 0</inkml:trace>
  <inkml:trace contextRef="#ctx0" brushRef="#br0" timeOffset="1393">5361 11441 24575,'-7'-52'0,"18"22"0,33 4 0,25 22 0,20 6-2458,-20-5 0,8-1 1,7-2-1,7 0 2245,-8 0 0,7-1 0,4-1 0,6-1 1,3 0-1,3-2 0,3 1 17,-21 1 0,3-1 0,1 0 0,3 0 0,1-1 0,3-1 1,2 1-1,2-1 0,3-1 0,2 1 0,2-1 196,-26 3 0,2-1 0,2 1 0,2-1 0,1 0 0,2-1 0,1 0 0,1 1 0,1-1 0,1-1 0,1 1 0,0 0 0,2 0 0,-1-1 0,1 1 0,0 0 0,1 0 0,-1 0 0,0 0-39,-9 2 1,1-1 0,0 0 0,1 0 0,0 1-1,1-1 1,0 0 0,0 0 0,1 1 0,0-1-1,1 0 1,0 0 0,1 1 0,-1-1 0,1 0-1,1 0 1,0 1 0,0-1 0,0 1 0,1-1 0,0 0-1,0 1 1,0-1 38,-4 1 0,1 0 0,-1 0 0,1 0 0,0 0 0,0 0 0,0 0 0,0 0 0,1 0 0,0 0 0,1 1 0,0-1 0,0 0 0,0 0 0,1 0 0,1 0 0,0 1 0,0-1 0,1 0 0,0 1 0,1-1 0,1 1 0,0 0 0,1-1 0,0 1 0,1 0-60,-13 1 0,1 0 1,0 0-1,1 0 0,1 1 1,0-1-1,1 0 0,0 0 1,1 1-1,0-1 0,1 0 1,0 1-1,0-1 0,1 1 1,0-1-1,0 1 0,1-1 1,-1 1-1,1 0 0,0-1 1,0 1-1,0 0 0,0 0 1,-1 0-1,1 0 0,0 0 1,-1 0-1,1 1 1,-1-1-1,-1 0 0,1 1 1,-1-1-1,0 1 0,-1 0 60,1 0 0,0-1 0,0 1 0,0 0 0,0 0 0,-1 0 0,0 1 0,1-1 0,-1 0 0,0 1 0,0-1 0,0 1 0,-1-1 0,1 1 0,0-1 0,0 1 0,0 0 0,0 0 0,0 0 0,0 0 0,1 0 0,-1 0 0,1 0 0,0 0 0,-1 0 0,2 0 0,-1 0 0,1 0 0,-1 1 0,1-1 0,1 0 0,0 0 0,0 1 0,-4-1 0,1 0 0,0 1 0,1-1 0,-1 1 0,1-1 0,0 1 0,1 0 0,-1-1 0,1 1 0,0 0 0,0-1 0,0 1 0,0 0 0,1 0 0,-1 0 0,1-1 0,-1 1 0,1 0 0,0 0 0,0 0 0,-1 0 0,1 1 0,0-1 0,-1 0 0,1 0 0,0 1 0,-1-1 0,1 0 0,-1 1 0,0-1 0,0 1 0,0 0 0,-1-1 0,1 1 0,-1 0 0,2 0 0,0 0 0,0 0 0,0 0 0,1 0 0,-1 0 0,1 0 0,0 0 0,0 1 0,-1-1 0,1 0 0,0 1 0,0-1 0,0 1 0,-1-1 0,1 1 0,-1-1 0,0 1 0,0 0 0,0 0 0,-1-1 0,0 1 0,0 0 0,0 0 0,-1 0 0,0 0 0,0 1 0,-1-1 0,-1 0 0,0 0 0,0 1 0,-1-1 0,-1 0 0,0 1 0,0-1 0,9 1 0,-1-1 0,-1 1 0,0-1 0,0 1 0,-2 0 0,0-1 0,0 1 0,-1 0 0,0 0 0,-1 0 0,0 0 0,0 0 0,-1 1 0,1-1 0,-1 0 0,-1 0 0,1 1 0,0-1 0,-1 1 0,1-1 0,0 1 0,-1-1 0,1 1 0,0 0 0,0-1 0,1 1 0,0 0 0,2 0 0,0 0 0,2 0 0,-1 0 0,1 0 0,0 0 0,0 0 0,1 0 0,-1 0 0,0 0 0,1 0 0,-1 1 0,-1-1 0,1 1 0,-1-1 0,-1 0 0,0 1 0,-1 0 0,0-1 0,-2 1 0,0 0 0,-1 0 0,-1 0 0,-1 0 0,-2 0 0,0 0 0,-2 0 0,19 1 0,0-1 0,-1 1 0,-1-1 0,-1 1 0,-1-1 0,-1 1 0,-1 0 0,-2-1 0,0 2 0,-2-1 0,-2 0 0,-1 1 0,-2 0 0,-1 0 0,-3 1 0,-1 0 0,-2 1 0,18 1 0,-2 0 0,-2 0 0,-3 1 0,-1 1 0,-4-1 0,-2 2 0,-3-1 0,-3 2 0,-3 0 0,-3 1 221,27 3 0,1-1 0,-4 2 1,-12 2-1,-21 4 0,-27 7-221,-42 66 2687,0-3-2687,0-28 4017,0-16-4017,0-14 6006,0-19-6006,-2-6 2347,-4 8-2347,-5 14 0,-5 25 0,1 43-1588,7-22 1,3 8 1587,1-11 0,1 6 0,1 4-1234,0-8 1,1 4 0,0 2-1,0 3 1234,1-6 0,-1 2 0,0 3 0,1 0 0,0 0 0,-1 3 0,1 0 0,0 1 0,-1 0 0,1 1 0,0 2 0,-1 1 0,1 1 0,0-1 0,0 0-781,1 1 0,-1-1 0,1 0 0,0 0 0,0-1 781,1-3 0,0 0 0,0 0 0,0-2 0,1 0 0,1 16 0,-1-1 0,2-1 0,0-3-431,0-9 0,0-2 0,1-2 0,-1-2 431,1 12 0,-1-3 0,-1-4 119,0-13 0,0-2 0,-1-3-119,-1 24 0,-1-6 1300,-1-21 0,0-5-1300,0 25 4474,0-32-4474,0-19 3625,0-12-3625,-8-6 0,-38 0 0,-1-7 0,-10-1-1399,-10 0 1,-10-1 0,-8 1 1398,6-3 0,-7 1 0,-6 0 0,-3 0 0,-4 0-613,12 0 0,-2 0 0,-3 0 1,-3 1-1,-3-1 0,-6 1 1,-4 0 612,24-3 0,-2 1 0,-4 0 0,-1 1 0,-3-1 0,-3 0 0,-1 0 0,-3 0 0,-2 0 0,-1 0 0,-2-1 0,-1 1 0,-2-1-147,22 0 0,-2-1 0,-1 0 0,-1 0 0,-1 1 0,-1-1 0,-1 0 0,-2 0 0,-1-1 1,-1 1-1,-1 0 0,-1 0 0,-1-1 0,-1 1 0,-1 0 0,-1-1 0,-1 1 0,-1-1 0,-1 0 1,-1 1-1,-1-1 147,22 0 0,-1-1 0,-1 1 0,-1 0 0,-1 0 0,0-1 0,-2 1 0,0 0 0,-1-1 0,-1 1 0,0-1 0,-1 1 0,0-1 0,-1 1 0,-1-1 0,0 0 0,-1 1 0,0-1 0,0 0 0,-1 0 0,-1 1 0,1-1 0,-1 0 0,0 0 0,0 0 0,-1 0 0,1 0 0,-1 0 0,1-1 0,-1 1 0,0 0 0,0 0 0,1-1-53,6 1 0,0-1 0,-1 1 0,0-1 0,-1 0 0,0 1 0,-1-1 0,0 0 0,0 0 1,-1 0-1,0 1 0,0-1 0,0 0 0,-1 0 0,0 0 0,-1-1 0,1 1 0,0 0 0,-1 0 1,0 0-1,1 0 0,-1-1 0,0 1 0,1 0 0,-1-1 0,1 1 0,-1 0 0,1-1 0,0 1 1,0-1-1,1 1 0,-1 0 0,1-1 0,0 1 0,1-1 0,0 1 0,0-1 0,1 1 0,0-1 53,-2 1 0,-1-1 0,0 0 0,1 1 0,-1-1 0,1 0 0,-1 1 0,1-1 0,-1 0 0,1 0 0,0 0 0,0 0 0,0 1 0,0-1 0,1 0 0,-1 0 0,1 0 0,0 0 0,0 0 0,0 0 0,1 0 0,0 0 0,0 0 0,0 0 0,1 0 0,0 0 0,0 0 0,0 0 0,1 0 0,0 0 0,1 0 0,-1-1 0,2 1 0,-1 0 0,1 0 0,0 0-3,-10 0 1,-1 0-1,0 0 1,0 0 0,1-1-1,-1 1 1,1 0 0,0 0-1,0-1 1,0 1 0,1 0-1,1 0 1,-1-1 0,1 1-1,1 0 1,0-1-1,1 1 1,1 0 0,0 0-1,1-1 1,1 1 0,0 0-1,2-1 1,0 1 0,1 0-1,1-1 1,2 1 0,0 0-1,1-1 3,-18 1 0,2-1 0,1 0 0,1 0 0,1 1 0,2-1 0,1 0 0,1 0 0,1 0 0,1 0 0,1 1 0,0-1 0,1 0 0,1 1 0,0-1 0,1 1 0,0-1 0,1 1 0,0 0 0,-10 0 0,1 0 0,1 0 0,2 0 0,1 0 0,0 0 0,1 0 0,1 0 0,-1 1 0,2-1 0,-1 1 0,0-1 0,0 1 0,-1 0 0,0 0 0,0 0 0,1 0 0,-1 0 0,0 0 0,0 0 0,0 0 0,1 0 0,-1 1 0,1-1 0,0 1 0,0 0 0,0 0 0,1 0 0,0 1 0,1 0 0,-9 0 0,-1 0 0,2 1 0,0-1 0,0 1 0,0 0 0,1 1 0,0-1 0,0 1 0,0 0 0,0 0 0,0 1 0,0 0 0,0 0 0,1 0 0,-1 1 0,0 0 0,0 0 0,1 0 0,-1 0 0,1 1 0,1 0 0,0 0 0,1 1 0,1-1 0,1 1 0,-9 0 0,2 1 0,0 1 0,0-1 0,2 1 0,0 0 0,1 0 0,0 0 0,1 1 0,1-1 0,1 1 0,-2 0 0,1 1 0,0-1 0,1 1 0,1 0 0,0 0 0,2 1 0,0-1 0,2 0 0,0 0 0,-10 2 0,1-1 0,1 1 0,1 0 0,2 0 0,0-1 0,2 1 0,1 0 0,-2 0 0,2 0 0,1 0 0,1 0 0,0 0 0,2 0 0,-1 0 0,-9 1 0,0 0 0,1 0 0,1 0 0,1 0 0,1-1 0,8-2 0,1 1 0,0-1 0,2 0 0,0-1 0,1 1 0,-12 2 0,2-1 0,1 1 0,-1-1 0,0 0 0,-2 0 0,0-1 0,0 0 0,0 0 0,0 1 0,-1 0 0,1-1 0,0 1 0,0 0 0,-1 0 0,-2 0 0,-1 0 0,0 0 0,0 0 0,1-1 0,4 0 0,1 0 0,0 0 0,1 0 0,1-1 0,4-1 0,1 1 0,1-1 0,2-1 0,1 1 161,-11 0 1,2 1-1,2-2 1,2 0-162,7-1 0,2-2 0,2 1 0,0-1 414,-19 1 0,2 1 0,3-2-414,16 0 0,2-2 0,2 0 1202,-25 1 0,5-1-1202,22 0 0,6-1 4155,-29-2-4155,30 0 3660,23-1-3660,15 2 0,13-1 0,4 1 0</inkml:trace>
  <inkml:trace contextRef="#ctx0" brushRef="#br0" timeOffset="2070">7966 12531 24575,'0'16'0,"0"4"0,0 12 0,0 12 0,0 17 0,0-13 0,0 6-1201,0 19 0,0 4 1201,-1 9 0,2 4-654,-1-23 1,2 1 0,0 2 653,2 2 0,1 0 0,1 0 0,2 27 0,2 0-843,1 1 0,0-2 843,0-14 0,-1-3-335,-2-12 1,0-4 334,1-4 0,1-4 1350,8 22-1350,-2-31 593,-2-33 1,-8-14 0,0-7 0</inkml:trace>
  <inkml:trace contextRef="#ctx0" brushRef="#br0" timeOffset="5693">8920 12656 24575,'-7'0'0,"11"0"0,17 0 0,24 0 0,6 0 0,42 0 0,6 0-521,-46 2 1,1 2 520,3 1 0,-3 4 0,25 17 255,-9 9-255,-25 7 0,-16 4 0,-17 8 0,-5 12 0,-11 19-786,-6-30 1,-5 3 785,-9 16 0,-5 4 0,-4 4 0,-4 2 0,5-16 0,-2 1 0,-1 1 108,0 0 1,1 1 0,0-2-109,3-7 0,0-1 0,2-2 0,-9 20 0,6-9 0,9 1 0,29-40 0,26-27 1599,22-15-1599,27-11 0,-31 5 0,3-1-394,9-3 1,3 0 393,0 0 0,1 1 0,0-1 0,0 1 0,-2 1 0,-1 0 0,-5 2 0,-2 0-101,-3 1 1,-2-1 100,30-11 0,-22 6 0,-29 10 0,-14 5 0</inkml:trace>
  <inkml:trace contextRef="#ctx0" brushRef="#br0" timeOffset="6444">11106 11605 24575,'-11'-18'0,"-2"7"0,-4 3 0,2 11 0,1 7 0,4 11 0,2 13 0,2 11 0,-1 10 0,2 6 0,-1 3 0,2 5 0,2 3 0,2 0 0,-1 0 0,1 10 0,0 5 0,-1 4 0,1-9 0,9-13 0,12-6 0,13-9 0,16-3 0,4-18 0,5-12 0,13-9 0,8-26 0,-40-18 0,-4-12 0,0-17 0,-7-10 0,-5-18 0,-7-4 0,-6-6 0,-3 3-289,-1 24 0,-2 6 289,-1-32 0,-6 45 0,-5 27 0,-8-2 0,-8 9 0,-6 3 0,-4 4 578,-4 1-578,0 2 0,-2 3 0,2 1 0,4 2 0,2 2 0,6 0 0,5 1 0,2 1 0,9 0 0,2 1 0</inkml:trace>
  <inkml:trace contextRef="#ctx0" brushRef="#br0" timeOffset="7335">11427 13302 24575,'0'-8'0,"0"-1"0,0-2 0,-6 2 0,-16 3 0,-21 3 0,-18 10 0,-1 19 0,19 31 0,20 16 0,18 6 0,5-3 0,0-15 0,0 2 0,1-6 0,2-11 0,5-9 0,7-11 0,3-9 0,8-6 0,5-3 0,10-4 0,12-2 0,4-9 0,4-10 0,-1-14 0,-2-15 0,-3-12 0,-10-8 0,-9-9 0,-9-5 0,-6 0 0,-5 1 0,-5 6 0,-6 9 0,-4 11 0,-5 12 0,-7 13 0,-8 8 0,-8 6 0,-1 5 0,-8 5 0,-3 3 0,4 4 0,11-3 0,13 4 0</inkml:trace>
  <inkml:trace contextRef="#ctx0" brushRef="#br0" timeOffset="9160">13970 11647 24575,'-12'10'0,"5"16"0,2 21 0,5 48 0,0-34 0,0 7-2252,0 23 0,0 10 2252,0-14 0,0 6 0,0 2-764,0-14 1,0 2-1,0 1 1,0 0 763,0 4 0,-1 0 0,1 1 0,1 0 0,0 0 0,0 1 0,0-2 0,1-2 0,0 15 0,0-4 0,1-1-653,1-10 0,2-1 0,0-2 653,0-5 0,2-2 0,-1-2-405,4 18 1,1-4 404,0-6 0,2-4 1039,-3-15 1,1-5-1040,5 24 3861,-9-40-3861,-12-27 2874,-17-15-2874,-17 5 0,-27 10 0,18-2 0,-5 3-581,-23 8 1,-8 3 580,15-6 0,-4 1 0,-3 0-1543,-14 3 1,-4 1 0,-4 0 1542,16-5 0,-2 1 0,-3-1 0,-1-1-874,10-3 1,-2-1 0,-1-1 0,-1 1 0,-2-2 873,-8 3 0,-3-2 0,-2 1 0,0-1 0,-2-1-487,11-2 1,-1 0-1,-1-1 1,-1 0-1,1 0 1,0-1 486,0-1 0,1 0 0,-1 0 0,1-1 0,0 0 0,0 0 0,3-1 0,0 0 0,1-1 0,0 0 0,0 0 0,2-1 0,-11 0 0,2-1 0,0 0 0,1-1 0,3 1-203,-11-1 0,2-1 0,2 0 0,1 0 203,4-1 0,1 0 0,1 0 0,1 0 84,3 0 0,1 0 1,1-1-1,1 1-84,-14-1 0,2 1 0,0-2 438,-2 1 1,1-1 0,3-1-439,7-1 0,2 0 0,4-1 1228,-18-1 0,5-1-1228,3 0 0,4 1 0,16 1 0,4 2 1330,4 0 0,0 2-1330,6-1 0,1 1 0,-44 0 3135,15-1-3135,15 1 3044,9 0-3044,15 0 1729,6 0-1729,12-4 678,11-13-678,8-20 42,0-22-42,-9-23 0,2 30 0,-1-2-836,-5-10 0,-2-3 836,-3-13 0,1-3-1158,-1-8 1,0-2 1157,7 28 0,1-1 0,0 1 0,-5-30 0,2 1 0,2 4 0,1 1-690,0 6 0,1 3 690,2 6 0,1 1 0,0 2 0,0 2-273,2 7 0,0 3 273,2 3 0,1 2 0,-6-42 0,4 12 0,2 3 1214,4 4-1214,1 1 2216,0 5-2216,0 10 1643,1 9-1643,0 6 735,0 9-735,0 6 105,-1 6-105,1 6 0,0 2 0,0 4 0,0 0 0,2 0 0,8-1 0,26-16 0,26-7 0,-18 15 0,5-1 0,16-4 0,6 1 0,16-2 0,5 2-1210,-21 6 0,3 0 0,2 1 1210,7-1 0,3 1 0,1 0 0,7 0 0,1 1 0,3 0-1198,-19 4 0,1 0 0,2 0 0,2 0 1198,11-2 0,2-1 0,2 0 0,2 0-799,-12 1 0,2 0 0,1 0 1,0 0-1,1 0 799,0 0 0,1 0 0,0 0 0,1 0 0,-1 0-535,2 0 1,0 0 0,1 0 0,-1 0 0,-1 0 534,-1 0 0,0 0 0,0 0 0,-1 0 0,0 0 0,-3 1 0,1 0 0,-1 0 0,0 0 0,0-1 0,1 1 0,1-1 0,0 0 0,-2 1 0,0-1-110,-4 2 1,-1-1 0,-1 1 0,-1 0 0,-2 1 109,12-3 0,-2 1 0,-2 0 0,-2 1 157,-9 2 0,-2-1 0,-2 1 0,-2 1-157,12-3 0,-2 1 0,-3 2 613,-9 1 1,-2 1-1,-1 1-613,25-2 0,-4 2 1511,-11 1 0,-5 3-1511,-12 1 0,-4 1 3644,32-1-3644,-21 2 3313,-19 1-3313,-11-1 2060,-12 1-2060,-6 0 1126,-5 0-1126,-2 0 0,0-1 0,3 1 0,7 0 0,20-8 0,7-4 0,10-4 0,30-6 0,10-2-302,-19 5 1,3-1 0,2 2 301,1 1 0,0 2 0,-3 1 0,17 0 0,-11 3 0,-31 6 0,-11 2 0,-9 3 0,-40 0 0,-5 0 0,-1 0 0</inkml:trace>
  <inkml:trace contextRef="#ctx0" brushRef="#br0" timeOffset="10302">8194 9083 24575,'0'11'0,"0"1"0,0 16 0,0 12 0,0 19 0,0 9 0,0 3 0,0 1 0,0-1 0,2-2 0,1-7 0,1-10 0,-1-15 0,-2-22 0,0-7 0,-1-14 0</inkml:trace>
  <inkml:trace contextRef="#ctx0" brushRef="#br0" timeOffset="14501">8898 9115 24575,'19'0'0,"12"0"0,48 0 0,18 0 0,-44 0 0,1 0-413,3 0 1,1 0 412,-4 0 0,0 0 0,39 0 203,-10 0-203,-25 0 0,-22 5 0,-16 3 0,-13 6 0,-4 9 622,-7 3-622,-9 5 0,-16 3 0,-8 2 0,-8 4 0,0 2 0,9-4 0,6-5 0,19-12 0,16-9 0,12-7 0,10-7 0,5-2 0,3-5 0,5-2 0,-1 0 0,2 2 0,-6 1 0,-3 2 0,-2 2 0,-3-2 0,-2 2 0,-2-3 0,-5 1 0,-2 2 0,0-2 0,3 1 0,8-1 0,6-1 0,6 2 0,-1 1 0,-8 3 0,-14 0 0,-8 1 0</inkml:trace>
  <inkml:trace contextRef="#ctx0" brushRef="#br0" timeOffset="15212">10893 8624 24575,'-2'-13'0,"-3"6"0,-3 0 0,-4 6 0,-5 7 0,2 8 0,0 17 0,6 20 0,5 20 0,0 10 0,4-14 0,0-20 0,0-20 0,4-11 0,2-2 0,8-6 0,8-5 0,4-1 0,6-1 0,1-2 0,3-8 0,1-8 0,0-9 0,-1-8 0,-4-8 0,-5-8 0,-3-7 0,-7-6 0,-5 2 0,-5 3 0,-5 4 0,0 8 0,-2 9 0,-4 9 0,-5 10 0,-6 8 0,-5 4 0,-2 4 0,-1 1 0,3 1 0,9-1 0,5 1 0</inkml:trace>
  <inkml:trace contextRef="#ctx0" brushRef="#br0" timeOffset="16002">11237 9000 18526,'-3'-12'0,"-2"5"2760,-4 1-2760,-6 6 1033,1 0-1033,-3 0 540,-3 3-540,2 12 1716,2 16-1716,8 18 0,5 11 0,3-5 0,0-13 0,0-15 0,0-9 0,0-2 0,0 2 0,-2-2 0,3-6 0,3-4 0,6-4 0,7-2 0,2 0 0,8 0 0,3-4 0,1-6 0,1-7 0,-6-6 0,0-6 0,-2-5 0,-6-8 0,-5-6 0,-7-5 0,-3-5 0,-2 4 0,-1-3 0,0 5 0,0 4 0,-2 7 0,-7 8 0,-9 4 0,-20 7 0,-18 6 0,-11 8 0,-2 5 0,31 3 0,14 0 0</inkml:trace>
  <inkml:trace contextRef="#ctx0" brushRef="#br0" timeOffset="17427">7758 10049 24575,'-3'-6'0,"-2"3"0,3 0 0,4 3 0,6 0 0,5 0 0,-3 0 0,-1-1 0,-2-4 0,-3-5 0,-2-7 0,-1-2 0,-1-3 0,0 2 0,-2 4 0,-7 4 0,-8 7 0,-11 3 0,-4 1 0,-3 1 0,5 10 0,10 14 0,8 11 0,9 1 0,3-9 0,2-12 0,1-5 0,3-1 0,3-4 0,1-1 0,2-2 0,-1-1 0,1 0 0,3-1 0,0-1 0,3-4 0,1-2 0,-2-3 0,0-2 0,-4 0 0,-4 0 0,-4-2 0,-2 1 0,-5 2 0,-3 5 0,0 7 0,-4 7 0,3 4 0,0-3 0,0-7 0,4-8 0,2-7 0,2 5 0,-1 4 0</inkml:trace>
  <inkml:trace contextRef="#ctx0" brushRef="#br0" timeOffset="27228">15340 11933 24575,'0'-8'0,"0"27"0,0 58 0,0 6 0,0 15 0,0-7 0,0 8 0,0 4-1164,0-17 1,0 3 0,0 0 0,0-2 1163,0-7 0,0-1 0,0-2 0,0-3 0,0 7 0,0-4 0,0-6 247,0 2 1,0-7-248,0 25-22,0-7 22,2-19 0,0-16 0,1-14 3476,0-21-3476,-2-17 676,0-18-676,-1-17 28,0-9-28,0-15 0,0-18 0,0-19-802,0 39 1,0-4 801,0-8 0,0-4 0,0-7 0,0-2 0,0 3 0,0 0 0,0 1 0,0 1 0,0 5 0,0 2 0,0 6 0,0 2-253,0 1 1,0 3 252,0-37 0,0 24 0,0 19 0,0 19 0,2 9 1560,4 12-1560,7 5 548,30 1-548,19-3 0,18-3 0,-8 1 0,8-2 0,6-1 0,2 0-1357,-5 2 0,2-1 0,3 0 1,1 1-1,1-1 1357,-8 2 0,2-1 0,2 1 0,0 0 0,0 0 0,0 0 0,1 1 0,2 0 0,-1 0 0,1 1 0,-1 0 0,-1 1-908,12-2 1,-2 2 0,-1-1-1,2 1 1,3 0 907,-8 0 0,1 0 0,2 1 0,1-1 0,0 0 0,1 1-434,-11 1 1,1 1-1,0-1 1,1 1 0,0-1-1,1 1 1,-1 1 433,3-1 0,-1 1 0,1 0 0,0 0 0,1 0 0,1 1 0,0 0-254,-7 1 0,1 0 1,0 0-1,1 0 1,1 1-1,-1 0 1,1 0-1,-1 0 254,1 0 0,0 1 0,0 0 0,0 0 0,0 0 0,1 1 0,0 0 0,0-1 0,2 1 0,1 0 0,0 0 0,0 1 0,0-1 0,1 1 0,0 0 0,0-1 0,3 1 0,1 0 0,0 0 0,0 0 0,0 0 0,0 0 0,0 0 0,0 1 0,0-1 0,-1 0 0,1 1 0,-1-1 0,1 1 0,0-1 0,-1 1 0,1 0 0,0-1 0,0 1 0,0 0 0,0-1 0,0 1 0,0 0 0,0 0 0,0-1 0,-1 1 0,1 0 0,-1 0 0,0 0 0,0 0 0,0-1 0,0 1 0,-1 0 0,-3 0 0,-1 0 0,1 0 0,-1 0 0,0 0 0,-1 0 0,1 0 0,-1-1 0,-2 1 0,-1 0 0,1 0 0,-1 0 0,0 0 0,0 0 0,-1 0 0,0 0 0,10 0 0,0 0 0,-1 0 0,0 0 0,0 0 0,-1 0 0,-1 0 0,-2 0 0,-1 0 0,0-1 0,-1 1 0,0 0 0,0 0 0,0 1 0,-2-1 0,0 1 0,0-1 0,0 1 0,0 0 0,-1 0 0,0 0 0,13 0 0,0 0 0,0 0 0,-1 0 0,-1 1 0,-1-1 0,-8 1 0,0 0 0,-2 0 0,0 0 0,0 1 0,-2-1 52,13 1 1,-1 1-1,0 0 1,-2 0-1,-1 0-52,-6-1 0,-1 1 0,-1 0 0,-2 1 0,0-1 0,13 3 0,-3-1 0,0 1 0,0 0 0,-2-1 0,0 1 0,-1 0 0,-2-1 210,-7 1 0,-1 0 0,-2-1 0,-1 1-210,17 1 0,-3 1 0,-1-1 461,-7-1 0,-2-1 1,-1 1-462,-6-2 0,-2-1 0,-3 0 1235,20 1 1,-4-2-1236,-5-2 0,-1 0 0,-7-1 0,0 1 1835,-1-1 0,0 0-1835,1 0 0,-2 0 1613,-10 0 1,-2 0-1614,-2 0 0,-2 0 0,-2-2 0,-2 0 0,33-4 2888,-15-1-2888,-28 0 1642,-20 5-1642,3 4 0,-10 10 0,-5 15 0,-5 20 0,-4 21 0,3 26-896,1-32 0,2 3 896,3 10 0,4 4 0,5 13 0,3 3-983,-4-27 1,2 2-1,1 1 983,2 3 0,2 2 0,1 0 0,1 3 0,1 1 0,2 1 0,2 1 0,1 1 0,0-1 0,-1-5 0,-1 0 0,1 0 0,1 4 0,1 2 0,-1-3 0,-2-6 0,-1-2 0,-1-1 0,-3-6 0,-2-1 0,0-2-482,9 25 1,-2-5 481,-10-24 0,-2-4 0,-2-5 0,-2-2 0,6 22 1416,-10-19-1416,-4-15 3033,-6-10-3033,0-8 1254,-7-1-1254,-45 4 0,-18-1 0,-17 3 0,13-5 0,-10 3 0,-4 0 0,-1-1-1297,9-2 1,-1-1 0,-2 1 0,-1-1 0,0 0 1296,-5 1 0,-1-1 0,-1 0 0,0 0 0,0-2 0,2-1 0,0-1 0,0-1 0,1-1 0,0-2 0,6-2 0,0-1 0,1-1 0,-1-1 0,-3 1-928,-10 1 1,-2-1 0,-2 0-1,-1 0 1,-1 0 927,13-2 0,-2 0 0,1 0 0,-2 0 0,0-1 0,0 0-517,-5-1 0,0 0 0,-1 0 0,1 0 1,-1-1-1,1 0 517,2 0 0,0-1 0,1 0 0,0 0 0,0 0 0,1-1-346,2-1 0,1 1 1,0-2-1,0 1 1,0-1-1,-1-1 346,-2 0 0,0-1 0,0 0 0,-1 0 0,1-1 0,0 1-16,0 0 1,-1 0 0,1 0 0,0 0 0,-1 0 0,1 1 15,0-1 0,1 0 0,-1 1 0,0-1 0,2 1 0,0 0 0,4 1 0,0 0 0,1 0 0,1 1 0,0 0 0,3 1 0,-8-1 0,2 2 0,2-1 0,0 1 0,1 0 85,-17 0 0,2 0 0,1 0 1,-1 1-86,3-1 0,0 1 0,0 1 0,-2-1 0,15 0 0,0 1 0,-1-1 0,-1 1 0,1 0 2,-3-1 0,-1 1 0,0 0 1,0 0-1,-1 0-2,-5 0 0,0 0 0,-1 0 0,-1 0 0,-1-1 0,13 1 0,0-1 0,-1 0 0,-1 1 0,1-2 0,0 1 0,-1-2 0,-1 1 0,1-1 0,-1 0 0,1-1 0,1 0 0,-15-1 0,1-1 0,0-1 0,0 1 0,1-2 0,0 0 0,1-1 0,0-1 0,0 0 0,1-1 0,0 1 0,1-2 0,1 1 0,0-1 0,0 1 0,4 0 0,0 0 0,1 1 0,0-1 0,-1 1-36,0 0 0,-1 0 1,1 0-1,0 0 1,1 1 35,6 1 0,1 0 0,0 0 0,1 1 0,1 0 128,-16-1 1,2 1-1,0 1 1,1 0-129,5 1 0,1 1 0,1-1 0,1 2 225,3-1 1,0 2-1,1 0 1,1 0-226,3 0 0,1 2 0,0-1 0,0 0 0,0 1 0,1 0 0,-1-1 0,-2 1 0,-6 0 0,-2 0 0,-1 0 0,0-1 479,-5 0 1,-2 0 0,0-1 0,-1 1-480,-3 0 0,-2-1 0,1 1 0,1-1 0,5 0 0,0 1 0,2 0 0,2-1 0,-13 0 0,3 1 0,6 0 0,-14 0 0,12 2 1615,31-1 1,9 0-1616,-11 0 3589,31 0-3589,3 0 3723,8 0-3723,3 0 2140,-5 0-2140,-12 0 192,-15 0-192,-22 0 0,25 2 0,-3 2-839,-11 3 0,-5 1 839,-13 3 0,-4 2-1141,-10 2 0,-1 2 1141,-1 0 0,1-1 0,3-3 0,3 0-591,10-2 1,3-2 590,11-3 0,2-2-51,9-1 0,3-1 51,-28 0 1360,24-1-1360,23-6 2292,13-6-2292,10-5 1455,4-2-1455,2 1 136,3 3-136,0 0 0,1-1 0,4 1 0,1 1 0,2 2 0,2 6 0,-1 1 0,4 2 0,-7 1 0,1 1 0</inkml:trace>
  <inkml:trace contextRef="#ctx0" brushRef="#br0" timeOffset="-50462">5143 729 24575,'-4'-5'0,"2"3"0,1 6 0,1 12 0,0 13 0,0 37 0,0-1 0,0 16 0,0 12-1128,0-14 1,0 8 0,0 8 0,0 4 0,0 6-1,0 2 1128,0-21 0,0 5 0,0 3 0,0 3 0,0 2 0,0 2 0,0 1 0,0 1 0,0 0 0,0 0-379,0-8 0,0 2 1,0 2-1,0 1 1,0 0-1,0 2 1,0-1-1,0 0 1,0-1-1,0-1 0,1-1 1,-1-1 378,1-1 0,0 1 0,0-1 0,0 0 0,0-1 0,0-1 0,0-2 0,1 0 0,-1-3 0,1-2 0,-1-2-402,1 23 0,0-2 1,0-2-1,0-4 1,1-3-1,0-6 1,1-6 401,1 13 0,2-7 0,0-8 0,1-6-357,6 21 1,1-7 356,-2 2 0,-1-3 1214,1-17 1,0-4-1215,-3-16 0,0-4 1000,7 19 0,-9-34 1,-3-17-1</inkml:trace>
  <inkml:trace contextRef="#ctx0" brushRef="#br0" timeOffset="-48586">4558 1 24575,'35'0'0,"46"0"0,-10 0 0,15 0 0,8 0-1967,-10 0 1,6 0 0,6 0 0,5 0 0,3 0 1779,-22 0 1,3 0 0,3 0 0,1 0 0,4 0-1,2 0 1,3 0 0,4 0 20,-19 0 0,2 0 0,2 0 1,2 0-1,1 0 0,3 0 1,1 0-1,2-1 0,1 1 0,2 1 1,2-1-1,0 0 0,2 0 166,-14 0 0,1 0 0,2 1 0,1-1 0,2 0 0,1 0 0,1 1 0,1-1 0,1 0 0,1 1 0,0-1 0,1 1 0,0-1 0,0 1 0,0 0 0,1 0 0,-1 0 0,-1 0 0,1 0-42,-6 0 0,-1 0 0,1 0 0,-1 0 0,1 1 1,0-1-1,0 0 0,0 0 0,0 1 0,1-1 0,0 1 1,1 0-1,0 0 0,1 0 0,0 0 0,1 1 0,0 0 1,2 0-1,0 0 0,1 1 0,2 0 42,-12 0 0,2 1 0,1-1 0,0 1 0,1 0 0,1 0 0,0 0 0,1 1 0,0-1 0,1 1 0,1 0 0,-1 1 0,2-1 0,-1 0 0,1 1 0,0 0 0,0 0 0,0-1 0,0 1 0,0 1 0,0-1 0,0 0 0,0 0 0,0 0 0,-1 1 0,0-1 0,0 0-73,-2 0 1,0 1-1,0-1 1,1 1-1,0 0 1,0 0-1,0-1 1,0 2 0,0-1-1,0 0 1,1 0-1,-1 0 1,0 1-1,1-1 1,-1 1 0,0-1-1,0 1 1,0 0-1,-1-1 1,1 1-1,-1 0 1,0-1-1,-1 1 1,0 0 0,0-1-1,0 1 1,-1-1-1,-1 1 73,6 0 0,-1 0 0,0 0 0,0 1 0,0-1 0,0 1 0,-1-1 0,0 1 0,0-1 0,-1 1 0,1-1 0,-1 1 0,-1-1 0,1 1 0,-1-1 0,1 1 0,-2-1 0,1 0 0,-1 0 0,0 0 0,0 0 0,0 0 0,-1 0 0,0-1 0,0 1 0,6-1 0,1 1 0,0 0 0,1 0 0,0 0 0,0 0 0,0 0 0,0 0 0,-1 0 0,0-1 0,-1 1 0,-1-1 0,0 0 0,-2 0 0,-1-1 0,-2 1 0,-1-1 0,-2-1 0,-1 1 0,-3-1 0,-2-1 0,-2 0 0,25 2 0,-2-1 0,-2-1 0,-3 0 0,-2-1 0,-3 0 0,-2-1 0,-3 1 0,-3-2 0,-2 1 0,-3-1 0,-2 0 88,30 0 0,-4 0 0,-5-2 0,-7 0 0,-6 0 0,-7-1-88,16 0 0,-11-1 0,-7-2 1145,11-4 0,-5-2-1145,0-3 0,-3-2 0,-8 3 0,-1-1 1063,7 0 1,4 1-1064,-17 3 0,2 2 0,5-1 278,15-1 0,4 0 0,6 0-278,-6 0 0,3 0 0,5 0 0,1 0-226,-9 2 1,3 1 0,2 0 0,1 0-1,1 1 226,-11 0 0,0 1 0,1 0 0,1 1 0,2 0 0,1 0-414,-3 1 0,1 0 0,2 0 0,1 0 0,0 1 0,0 0 1,-1 0 413,0 1 0,-1-1 0,1 1 0,-1 1 0,1 0 0,0 0 0,1 1-197,2 1 0,2 1 1,0 0-1,0 1 1,0 0-1,0 1 0,-1 1 197,-3 0 0,0 0 0,0 2 0,0 0 0,-2 0 0,-1 2 0,-1 0 143,4 2 1,-1 0-1,-2 2 1,-1 1-1,-3 0 1,-3 1-144,1 1 0,-2 1 0,-3 1 0,-4 1 0,-6-1 880,13 6 1,-7 0 0,-15 1-881,17 27 3951,-81-25-3951,0-17 5908,0-6-5908,0 2 2644,0 6-2644,0 20 0,0 38 0,-2-4 0,-2 10-1346,0-7 1,-1 6 0,0 3 1345,-2 11 0,0 5 0,0 5-1073,1-25 1,-1 4 0,1 1-1,-1 2 1,1 0 1072,-1 4 0,0 0 0,1 1 0,-1 2 0,1 0-735,-1 7 1,1 1 0,0 2 0,1 0 0,-1 2 734,2-12 0,-1 1 0,1 2 0,0-1 0,1 1 0,-1-2-410,1-1 1,1-1 0,0-1 0,0 1 0,0 0 0,0 1 409,1 3 0,-1 1 0,1 0 0,0 0 0,0 0 0,0-3 0,0-5 0,1-1 0,-1 0 0,1-2 0,-1-1 0,1 0 0,-1 8 0,0 0 0,1-2 0,0-2 0,0-3 5,-1 7 1,1-2 0,1-4 0,0-2-6,0 10 0,2-5 0,0-3 567,1-10 0,0-2 1,0-4-568,4 12 0,0-4 1567,0-11 1,0-6-1568,3 24 4862,-4-31-4862,-12-25 3518,-35-14-3518,-52-21 0,13-5 0,-13-4-1120,24 4 1,-5-2 0,-5-2 0,-4 1 1119,-1-1 0,-4-1 0,-3 0 0,-3-1 0,-1 2 0,3 1 0,-1 0 0,-2 1 0,-2 0 0,-4 1 0,-3 0 0,19 4 0,-2 0 0,-2 1 0,-2 0 0,-2 0 0,-2 1 0,0 1 0,-3-1 0,0 2-399,3-1 1,-1 2 0,-1 0-1,-2 0 1,-2 0 0,0 1 0,-2 0-1,-1 1 1,-1 0 0,-1 0-1,0 1 399,10 0 0,0 0 0,-2 1 0,0 0 0,-1 0 0,-1 0 0,-1 1 0,-1 0 0,0 1 0,-1-1 0,-1 1 0,-1 0 0,0 1 0,-1-1-172,13 1 0,0 0 0,-1 1 0,-1-1 1,0 1-1,-1 0 0,-1 0 0,0 1 0,-1-1 1,0 1-1,0 0 0,-1 0 0,0 1 1,0-1-1,0 1 0,-1 0 0,0 0 0,0 0 172,5 0 0,-2 0 0,1 0 0,-2 1 0,0-1 0,0 1 0,-1 1 0,0-1 0,0 0 0,0 1 0,0-1 0,0 1 0,0 0 0,0-1 0,1 1 0,0 0 0,0 0 0,1 0 0,1-1 0,0 1-115,-4 0 0,0 0 0,0 1 0,1-1 0,-1 1 0,1-1 0,0 1 1,1-1-1,0 1 0,0-1 0,1 1 0,0 0 0,0-1 0,0 1 1,1-1-1,1 0 0,0 1 0,0-1 115,-4 1 0,0-1 0,1 1 0,0 0 0,0 0 0,0 0 0,1-1 0,0 1 0,1-1 0,1 1 0,0-1 0,1 0 0,1 0 0,0 0 0,2-1 0,0 0-7,-15 1 0,0-1 1,1 0-1,2 0 0,0 0 1,1 0-1,2-1 1,0 0-1,2-1 0,0 1 1,2-1-1,1 0 7,-3 0 0,2-1 0,1 0 0,2-1 0,1 0 0,0 1 0,1-1 0,0 0 0,-1 0 0,0 0 0,-9 1 0,-1-1 0,0 1 0,0 0 0,1 0 0,0-1 0,1 0 0,1 1 0,0-1 0,-3 0 0,0-1 0,1 1 0,1-1 0,1 0 0,0 1 0,0-1 0,1 0 0,5-1 0,-1 1 0,2 0 0,-1 0 0,1-1 0,2 0 0,0 1 0,1-1 0,-4 0 0,1 0 0,2 1 0,0-1 0,1-1 0,0 1 0,1 0 0,-10-1 0,0 0 0,2 0 0,0 0 0,1 0 0,2 0 0,-8 0 0,2-1 0,1 0 0,3 1 0,2-1 134,-8 0 0,3 1 1,3-1-1,1 1-134,9-1 0,2 1 0,2-1 0,2 1 470,-10 0 0,3 0 0,5 0-470,-20 0 0,7 1 1299,14-1 0,6 1-1299,19-1 0,3 1 4280,-24 0-4280,1 0 0,21 0 0,-6 0 567,-29-1 0,-10 1-567,10 0 0,-7 0 0,-5 0-746,7 0 1,-5 0-1,-3 0 1,0 0 745,14 0 0,-1 0 0,-1-1 0,-1 1 0,1-1 0,0 0 0,-1 0 0,1 0 0,0-1 0,1 1 0,2-1 0,0 0 0,1 0 0,1 0 0,2-1-548,-9 0 1,3 0 0,1 0 0,0 0 547,6 0 0,0-1 0,2 1 0,0 0-479,-17-1 0,1 0 0,4 1 479,11-1 0,3 1 0,2-1 525,-28 0 0,6-1-525,20 2 0,6 0 0,16 0 0,5 1 3869,-16 0-3869,21 1 3751,16 1-3751,6 0 3110,4-1-3110,2 1 313,2 0 0,7 0 0,2 0 1</inkml:trace>
  <inkml:trace contextRef="#ctx0" brushRef="#br0" timeOffset="-47119">7735 6143 24575,'0'-29'0,"0"-17"0,-2-17 0,-3-15-3081,0 1 1,-2-7-1,0-6 3081,0 6 0,-2-3 0,0-4 0,0-3-642,0 2 0,1-3 0,-1-3 0,0 0 0,0 0 642,1 0 0,0 1 0,1-1 0,-1-1 0,1 0-208,1 13 1,0-1 0,0-1 0,1 1 0,0 0 0,0 1 207,1-12 0,0 1 0,0 0 0,1 2 0,-1 1-371,1 5 0,0 0 1,-1 2-1,1 1 1,0 2 370,0-12 0,0 2 0,0 2 0,-1 4 199,0-12 0,-1 4 0,0 2-199,1 9 0,-1 1 0,0 5 1045,-1-16 0,1 5-1045,-1 8 0,1 6 1861,2 20 1,1 4-1862,-2-18 4262,14 33-4262,47 14 0,-2 12 0,10 2-759,11-3 1,11-2-1,6 0 759,-17 2 0,4-1 0,4 0 0,3-1 0,3 0-523,-11 2 1,4 0-1,2-1 1,1 1 0,3-1-1,0 1 1,1-1 522,-3 1 0,1 0 0,1 1 0,2-1 0,0 0 0,1 0 0,1 1 0,1 0-353,-4 0 0,1 1 1,0 0-1,2 0 0,0 0 1,0 0-1,2 1 0,-1-1 1,2 1 352,-5 1 0,1-1 0,1 1 0,1 0 0,-1 0 0,2 1 0,-1-1 0,0 1 0,-1 0 0,1 0-216,-3 0 1,0 1 0,0-1 0,0 1 0,-1 0-1,1 0 1,0 0 0,0 1 0,0-1 0,1 1 215,2 0 0,0 0 0,1 0 0,0 0 0,0 1 0,0-1 0,-1 1 0,0 0 0,-2 0 0,-1 0-28,2 1 0,-1-1 1,0 1-1,-1 0 1,-1 0-1,-1 0 0,-1 0 1,-1 1-1,-2-1 28,11 1 0,-2-1 0,-1 1 0,-2-1 0,-1 1 0,-1 0 0,-1 1 0,6-1 0,-1 0 0,-2 0 0,-1 1 0,-2-1 0,-4 1 0,20 0 0,-4 0 0,-2 1 0,-3 0 225,-10 0 1,-2 0 0,-2 1-1,-2 0-225,12 1 0,-3 0 0,-5 0 1009,16 1 1,-10 0-1010,-23-1 0,-8 0 3475,21 0-3475,-30-1 5197,-20-1-5197,-11 2 3537,-9 1-3537,-4 4 1254,-3 6-1254,-2 9 0,0 19 0,7 22 0,7-6 0,6 8-1471,3-4 1,4 4-1,2 6 1471,2-1 0,3 4 0,2 4 0,2 4-803,-3-7 0,2 4 1,2 3-1,1 3 1,1 3-1,0 2 803,-2-6 0,0 3 0,1 2 0,1 3 0,0 1 0,1 1 0,-1 0 0,0 1 0,-6-12 0,1 0 0,-1 2 0,1 1 0,0 0 0,0 0 0,-1 1 0,0-1 0,0 0 0,0-1 0,2 7 0,0 1 0,1 0 0,-2 0 0,1-1 0,-1 0 0,-1-2 0,-1-2 0,-1-1 0,3 8 0,0 1 0,-2-2 0,0-2 0,-2-4 0,-2-3 0,-2-6-372,6 17 1,-3-6 0,-2-7 0,-3-8 371,6 19 0,-5-17 0,-1-4 0,-18-50 2682,0 5-2682,-13-16 5328,-35-10-5328,-6-5 0,-9-2 0,-34-4 0,-12-1-878,30 5 1,-4 1-1,-5 0 1,-3 0 877,2 1 0,-4 0 0,-3 0 0,-2 0 0,-2 1-788,2 0 0,-3 0 1,-2 1-1,-2-1 0,-2 1 1,-1 0 787,15 0 0,-3 0 0,0 1 0,-2-1 0,-1 1 0,0-1 0,-2 1 0,0-1-352,4 1 1,-2 0 0,-1-1 0,0 1 0,-1 0 0,-1-1 0,0 1 0,-1 0-1,0 0 352,6 0 0,-1-1 0,-1 1 0,0 0 0,-1 0 0,0 0 0,0 0 0,0 0 0,-1 0 0,1-1-212,-3 1 1,-1 0 0,-1 0 0,1 0-1,-1 0 1,0 0 0,1 0 0,0 0-1,1 0 1,1 0 211,-5 0 0,1 0 0,0 0 0,1 0 0,0 1 0,1-1 0,0 0 0,0 1 0,1 0-22,-6-1 1,-1 1 0,1 0-1,1 0 1,0 0 0,1 0 0,1 1-1,0-1 22,7 1 0,1 0 0,0 0 0,1 0 0,1 1 0,0 0 0,1 0 0,1 0 0,-5 1 0,1 0 0,0 1 0,2 0 0,0 1 0,1-1 0,0 1 0,-7 0 0,-1 1 0,2 0 0,1 0 0,1 1 0,3-1 0,-7 2 0,3 0 0,1 1 0,2 0 0,2-1 177,-9 2 0,1 1 0,4-1 0,2 0-177,-8 1 0,4 0 0,3-1 516,8 0 0,2-1 0,4 0-516,-15 3 0,6-1 1404,18-2 1,4-1-1405,9 0 0,4-2 4538,-23 4-4538,25-4 0,26-5 0,8-1 0</inkml:trace>
  <inkml:trace contextRef="#ctx0" brushRef="#br0" timeOffset="-33877">20024 5986 24575,'0'-8'0,"0"-2"0,0-14 0,0-25 0,-9-38 0,-3 14 0,-3-9-1939,-1 10 0,-3-4 1,-2-5 1938,1 7 0,-2-4 0,-2-1 0,0-2-824,-2-5 1,0-1 0,-2-1-1,0-2 824,4 13 0,-2-2 0,1 0 0,-1-1 0,-1 0-735,0-3 0,-1 0 0,-1 0 0,0-1 1,0 1 734,0-1 0,-1 0 0,0-1 0,0 2 0,-1 0 0,1 2 0,0 0 0,0 1 0,0 1 0,0 2-429,-5-11 1,1 3 0,-1 1 0,1 1 428,3 8 0,0 0 0,0 3 0,1 2 239,-4-8 0,0 3 0,2 2-239,2 6 0,0 2 0,2 3 1068,-8-15 1,2 6-1069,7 15 0,2 4 2100,3 5 0,1 2-2100,-8-26 3731,11 23-3731,7 12 2469,6 11-2469,4 9 1211,13 3-1211,47-16 0,2 6 0,15-3 0,12-1-1126,-13 6 1,8-2 0,6 0-1,5 0 1,1 0 0,1 0 1125,-3 1 0,1 0 0,3 0 0,2 1 0,1-1 0,2 2 0,1 0-505,-14 3 1,3 0 0,1 1 0,1 0 0,0 0 0,1 1 0,1 1 0,-1 0 0,0 1 504,0 1 0,1 0 0,0 1 0,0 0 0,0 1 0,1 1 0,-1 0 0,-1 1 0,1 0-338,-3 1 1,-1 1 0,0 1 0,0 0 0,0 0 0,0 1 0,1 0 0,0 0 0,2 0 337,-2-1 0,0 1 0,1 0 0,0 1 0,1-1 0,1 0 0,0 1 0,-1 0 0,1 0 0,-1 0-203,1 1 0,0 0 0,0 0 0,0 0 0,0 0 1,0 1-1,1 0 0,-1 0 0,1 0 0,-1 0 203,2 1 0,0 0 0,0 0 0,0 0 0,1 0 0,-1 1 0,0 0 0,-1 0 0,-1 0 0,0 0 0,4 1 0,0 0 0,-1 0 0,-1 0 0,0 1 0,-1-1 0,0 1 0,-1 0 0,0 0 0,6 1 0,0 0 0,-1 0 0,-1 0 0,0 0 0,-1 1 0,-2-1 0,-1 1 0,2 0 0,-2 0 0,0 0 0,-2 1 0,-1-1 0,-2 0 0,0 0 0,4 0 0,-2 1 0,-1-1 0,-1-1 0,-1 1 0,-2 0 67,8 0 1,-2 0 0,-1 0-1,-2-1 1,-3 1-68,6-1 0,-2 0 0,-2 1 0,-3-2 271,-7 0 1,-2 0 0,-2 0 0,-3-1-272,8 0 0,-4 0 0,-2 0 1075,24-1 0,-7 1-1075,-21-2 0,-6 1 3799,29 0-3799,-33-1 4375,-22 0-4375,-16-1 3183,-7-1-3183,-5 0 1452,-2 1-1452,-1 0 0,0 2 0,-2 2 0,-2 4 0,-2 2 0,-2 2 0,0 16 0,3 47 0,6 10 0,4 17-804,-3-22 0,1 8 1,2 5-1,1 3 804,-3-17 0,0 4 0,1 2 0,1 2 0,-1 0 0,1-1-929,1 2 1,-1 2 0,1 0-1,0 0 1,0-2 0,0-1 928,1 9 0,0 0 0,-1-3 0,1-2 0,-1-2 0,1 4 0,0-3 0,0-3 0,0-4-686,1 10 0,1-5 1,-1-1 685,-1-1 0,0-2 0,-1-1-392,0-5 0,-1-2 1,0-2 391,4 25 0,-2-5 458,-1-11 1,-2-5-459,-1-11 0,-2-3 2168,0-8 0,-1-2-2168,5 28 2927,-4-22-2927,-4-19 2310,-2-13-2310,-1-9 1332,-4-5-1332,-6-4 195,-8-1-195,-15-1 0,-16 3 0,-20 3 0,-26 5-1074,30-5 0,-6 1 1074,-15 4 0,-7 1-1089,19-5 1,-3 0-1,-3 0 1089,-10 1 0,-2-1 0,-3-2-930,17-2 0,-1-1 1,-2-1-1,0 0 930,-7-1 0,-2 0 0,-1-1 0,-2 1-899,-6-1 1,-1 0-1,-2-1 1,-1 0 898,12 0 0,0-1 0,-2 0 0,-1-1 0,1 1 0,-3-1 0,-1 0 0,0-1 0,-1 1 0,-3-1 0,5 0 0,-1-1 0,-2 0 0,-1 1 0,-1-2 0,-2 1-187,8 0 0,-2-1 0,-1 1 0,0-1 0,-2 0 0,0 0 0,0 0 187,7 0 0,-1 0 0,0 0 0,0 0 0,-2 0 0,1 0 0,-1 0 0,-1 0 0,-4 0 0,-1 0 0,-1 0 0,0 0 0,0 0 0,0 0 0,0 0 0,2 0 0,2 0 0,0 1 0,0-1 0,1 1 0,0-1 0,2 1 0,1 0 0,3-1-184,-15 1 1,3 0 0,1 0-1,2 0 1,3 0 0,2 0 183,-3 1 0,3 0 0,2 0 0,4 0 0,3 0 0,1 1 0,4 0 0,3 0 0,4 1 221,-4 0 1,5 0 0,-2 0-222,-10 1 0,-1 0 0,1 1 0,5-1 0,1 0 0,1 1 0,1-1 0,0 0 0,0 1 0,2 0 0,0-1 0,0 1 0,2-1 0,1 0 0,-1-1 540,1 0 0,1 0 0,-1-1-540,1 0 0,0 0 0,1-1 0,-25 0 0,2-1 867,6 0 1,4 0-868,9 0 0,4-1 2026,11 1 1,3-1-2027,-41 0 2426,27 0-2426,18 0 2420,18 0-2420,13 0 1736,12 0-1736,7 0 481,7 0-481,5 0 0,-5 0 0,2 0 0</inkml:trace>
  <inkml:trace contextRef="#ctx0" brushRef="#br0" timeOffset="82498">16342 13924 24575,'0'-4'0,"0"-9"0,0-17 0,0-14 0,0 0 0,0-8 0,0 4 0,0-5 0,0-8 0,0-3 0,-2-3 0,-2 1 0,-5-5 0,-2-7 0,0-8 0,2 1 0,5 5 0,2 3 0,-1 8 0,-1 4 0,0 16 0,0 10 0,3 10 0,1 5 0,5 3 0,8 4 0,7 2 0,28-4 0,14-6 0,27-10-1137,-22 10 1,5-1 1136,17-4 0,6-2-1447,-15 9 0,4-1 0,4 1 1447,-13 3 0,2 1 0,1 0 0,1 0 0,1 1 0,1 0 0,1 1 0,0 0 0,3 1 0,2-1 0,-1 1 0,-1 0 0,-3 2 0,-2-1 0,0 1 0,-1 0-893,19-2 0,-1 0 0,-1 0 893,-5 1 0,-2 0 0,-2 1 0,-11 1 0,-2 0 0,-1 0-508,27-5 1,-4 0 507,-16 2 0,-5 1 508,-14 3 0,-5 0-508,25-5 3502,-27 5-3502,-19 5 3518,-12 7-3518,-9 11 1817,-7 16-1817,-5 25 0,-1 33 0,-2-30 0,2 4-490,0 13 1,2 2 489,0 1 0,2-1 0,3 1 0,2 0 0,4 4 0,1 0 0,3-3 0,1 0 0,1-1 0,1-2 0,0-3 0,1-4 0,-1-9 0,-2-5 0,10 29 0,-14-23 0,-22-29 0,-14-15 1434,-13 0-1434,-10 1 0,-7 5 0,-18 8 0,-18 7-1218,26-14 1,-6 0 1217,-18 3 0,-7-2-1205,15-5 1,-4 0-1,-4-1 1205,9-3 0,-3 0 0,-3-1 0,-1 0-1007,-9 1 1,-4-1-1,0-1 1,-1 0 1006,16-2 0,0-1 0,0 1 0,-1-1 0,0 0 0,0 0 0,-1 0 0,0-1 0,0 1 0,1 0 0,-1 0 0,0 0 0,0-1 0,1 1 0,1 0 0,-11 1 0,2 0 0,1 1 0,1-1-484,3 0 1,2-1 0,0 1 0,3-1 483,-15 2 0,4-1 0,3 0 0,13-2 0,4 0 0,2 0 234,-27 3 1,7-2-235,18-1 0,6-2 2239,-31 2-2239,33-2 1081,20-4 1,23 0 0,8-1 0</inkml:trace>
  <inkml:trace contextRef="#ctx0" brushRef="#br0" timeOffset="83432">17050 13116 24575,'1'0'0,"19"0"0,16 0 0,16 0 0,2 0 0,-7 0 0,-5 0 0,-6 0 0,-2 4 0,-11 9 0,-15 11 0,-13 12 0,-13 7 0,-4 3 0,1 0 0,2-3 0,6-3 0,5-5 0,3-7 0,3-4 0,4-8 0,14-8 0,11-4 0,14-4 0,17-3 0,19-5 0,-27 1 0,2 1 0,-1-1 0,0 1 0,37-2 0,-33 7 0,-31 4 0,-14 4 0,-8 1 0,-1 2 0,0 1 0,-2 0 0,-4 3 0,-7 3 0,-5 3 0,-6 4 0,-4 0 0,-3-1 0,-4-3 0,-1-3 0,-2-3 0,1-4 0,1-4 0,2-3 0,3-2 0,3 0 0,4-3 0,5-3 0,9 2 0,3-2 0</inkml:trace>
  <inkml:trace contextRef="#ctx0" brushRef="#br0" timeOffset="84199">18067 13029 24575,'-5'0'0,"11"0"0,13 0 0,16 0 0,4 0 0,4 0 0,3 0 0,1 0 0,0 0 0,10 0 0,-9 0 0,-12 21 0,-14 21 0,-20 24 0,-11 23 0,-8-10 0,-7-5 0,-5-11 0,3-12 0,1-1 0,3-4 0,4-6 0,2-6 0,5-6 0,4-8 0,9-3 0,14-8 0,19-13 0,19-13 0,19-12 0,9-3 0,6 0-629,2 0 629,-3 2 0,-4 3 0,-11 7 0,-14 5 0,-16 6 0,-10 4 0,-10 1 0,-5 3 0,-9 1 0,-2 0 0</inkml:trace>
  <inkml:trace contextRef="#ctx0" brushRef="#br0" timeOffset="86458">21962 7724 24575,'0'13'0,"0"3"0,0 19 0,0 28 0,0 29-2422,0-13 1,0 10 2421,0-7 0,0 6 0,0 6-1113,0-6 1,0 5-1,0 4 1,0 3 1112,0-18 0,0 2 0,1 3 0,-1 1 0,-1 1 0,1 0-618,0 5 0,-1 2 1,0 0-1,0 1 1,0 1-1,1 1 618,-1-8 0,1 1 0,1 1 0,-1 0 0,1 2 0,0 0 0,1 1-310,1-7 0,0 1 1,0 1-1,1 0 0,0 1 1,1 1-1,0-1 0,1 2 310,1 3 0,1 0 0,-1 1 0,2 1 0,0 0 0,1 0 0,0 1 0,1 1-101,1-7 0,-1 1 0,2 1 1,0 0-1,1 0 0,0 0 1,0 0-1,0-1 0,1-1 101,-1-5 0,0 0 0,1 0 0,0 0 0,0-1 0,0-1 0,1 0 0,-1-1 0,1-1 0,2 6 0,-1-2 0,1 0 0,0 0 0,0-2 0,0 0 0,1 0 0,-1-2 0,3 6 0,0 0 0,1-2 0,-1 0 0,1-2 0,0-1 0,-1-2 0,1 2 0,-1-2 0,1-1 0,-1-2 0,1-1 0,0 0 0,3 11 0,1-1 0,-1-1 0,0-3 0,0-2 206,1 5 0,-1-3 1,0-3-1,-2-3-206,3 6 0,-2-4 0,-1-4 629,-2-10 1,-2-2-1,-1-5-629,2 7 0,-3-7 3373,6 22-3373,-14-37 0,-95-23 0,9-17 0,-18-6 0,-14 5 0,36 1 0,-6 1 0,-5 1 0,-5 2 0,-5 1 0,-3 2 0,-3 1 0,-2 2 0,19-2 0,-2 1 0,-4 1 0,-3 1 0,-1 2 0,-3 0 0,-1 1 0,-2 1 0,0 0 0,-1 1 0,0 0 0,-1 0 0,1 0 0,1 0-101,11-2 1,-1 1-1,-1-1 1,0 1 0,-1 1-1,0-1 1,0 1 0,-1 1-1,0-1 1,-1 1 0,1 0-1,-1 1 1,0-1 0,0 1-1,0 0 1,0 0 0,0 1 100,1-1 0,0 1 0,0 1 0,-1-1 0,0 1 0,0 0 0,-1 1 0,1 0 0,-1-1 0,1 1 0,0 1 0,-1-1 0,1 0 0,0 0 0,1 0 0,0 0 0,0 0 0,1-1-139,-2 2 1,0-1 0,1 1-1,-1-1 1,1 1 0,0 0 0,0-1-1,0 1 1,1 0 0,0-1 0,0 1-1,0-1 1,1 0 0,0 0 0,1-1-1,0 0 1,0 0 138,-5 1 0,1 0 0,1-1 0,0 0 0,1 0 0,0 0 0,0-1 0,1 1 0,-1-1 0,0 0 0,0 0 0,0 0 0,-1 0 0,0 0 0,-1 0-127,2-1 0,-1 1 0,0-1 0,-1 1 1,0-1-1,0 0 0,-1 1 0,1-1 1,-1 0-1,0 0 0,1 0 0,0-1 1,0 1-1,0-1 0,1 0 0,0-1 127,-1 1 0,-1 0 0,0-1 0,1 1 0,0-1 0,0 0 0,0 0 0,1-1 0,-1 1 0,1-1 0,0 0 0,0 0 0,1 0 0,-1-1 0,1 1 0,-2 0 0,-1-1 0,0 1 0,1-1 0,0 1 0,0-1 0,1 0 0,-1 0 0,1-1 0,0 0 0,1 0 0,0 0 0,0 0 0,1-1 0,-10 2 0,0 0 0,1-1 0,-1 0 0,2 0 0,-1-1 0,1 0 0,1 1 0,1-2 0,0 1 0,1-1 0,0 0 0,2 1 0,0-2 0,0 1 0,2-1 0,0 0 0,1 0 0,0 0 0,1 0 0,-1-1 0,2 0 0,-1 0 0,-4 1 0,0-1 0,1 1 0,-1-1 0,2 0 0,0-1 0,0 1 0,1-1 0,1 0 0,1 0 0,-12 1 0,0 1 0,1-2 0,2 1 0,0-1 0,1 0 0,1 0 0,2-1 0,-5 1 0,3-1 0,0 0 0,1 0 0,1-1 0,2 0 0,0 0 0,-6 0 0,1 1 0,1-2 0,1 1 0,3-1 0,1 0 0,-5 0 0,3 0 0,1-1 0,3 0 0,2 0 178,-7 0 0,3 0 0,2 0 0,3-1-178,-13 1 0,3 0 0,3-1 530,10-2 1,3 0 0,3-1-531,-14 1 0,7-1 1502,19-3 0,5-1-1502,-22 1 4658,29-2-4658,19-5 3852,16-10-3852,8-13 2211,6-31-2211,0 11 0,-2-6 0,-5-22 0,-3-9-2092,-4-3 1,-4-9 0,-4-6 2091,4 24 0,-2-3 0,-2-4 0,-2-2 0,-1-3-656,3 12 1,-2-1-1,0-3 1,-2-2 0,-1-2-1,-1-2 1,-2-2 655,4 10 0,-1-2 0,-2-2 0,0-1 0,-1-2 0,-1-1 0,-2-1 0,0-1 0,0-2 0,-2 1-236,4 9 0,-1-2 0,-1 0 0,0-1 0,-2-1 0,0-1 0,0 0 0,-1-1 0,0-1 0,-1 0 0,0 0 0,0-1 0,1 0 236,1 6 0,0-1 0,0-1 0,-1 0 0,0-1 0,0-1 0,-1 1 0,0-1 0,1 0 0,-1 0 0,0 0 0,0 0 0,0 1 0,1 0 0,0 0-137,-1 1 0,1-1 0,0 1 0,-1-1 1,1 0-1,-1 0 0,1 0 0,-1 1 0,1 0 1,0 1-1,0 0 0,0 0 0,1 2 1,0 0-1,1 2 137,-5-10 0,0 0 0,1 0 0,-1 1 0,1 1 0,0 1 0,1 1 0,0 1 0,1 1 0,1 2 0,1 1 0,2 2 15,-8-17 1,1 1 0,1 1 0,1 3 0,2 2 0,1 4 0,1 2 0,3 5-16,-6-13 0,2 5 0,2 5 0,3 4 0,2 6 604,-4-9 1,4 7 0,6 11-605,-7-18 3013,21 50-3013,-1-1 4506,5 11-4506,2 2 5909,1 3-5909,2 1 968,0-1-968,7-6 0,21-14 0,36-22 0,-5 14 0,12-4-2262,5-1 1,9-4 0,8-2 2261,-17 13 0,4-2 0,4-1 0,5-1 0,2-1-649,-9 6 1,3 0 0,2-1 0,3-1 0,2 0 0,3 0 0,1-1 648,-15 9 0,0-1 0,2-1 0,1 1 0,2-1 0,1 0 0,2 0 0,2 0 0,2 0 0,2 0-217,-11 5 0,1-1 0,3 1 1,1 0-1,1-1 0,2 1 1,1-1-1,0 1 0,2-1 1,-1 1-1,1 0 0,1-1 1,-1 1-1,0 1 217,-7 1 0,0 1 0,0 0 0,1 0 0,1 0 0,-1 0 0,1 0 0,1 1 0,-1-1 0,2 0 0,-1 1 0,1 0 0,1-1 0,-1 1 0,2 0 0,-1 0-113,-4 2 0,1-1 0,0 1 1,1 0-1,0 0 0,0 0 1,1 0-1,0 0 0,0 0 1,1 0-1,0 1 0,0-1 1,0 1-1,0 0 0,1 0 1,-1 0-1,1 0 0,0 1 113,-3 0 0,1 0 0,1 0 0,-1 1 0,1-1 0,0 1 0,0 0 0,0 0 0,1 0 0,-1 0 0,1 0 0,0 0 0,-1 1 0,1 0 0,-1 0 0,0 0 0,0 0 0,0 0 0,0 1 0,3-1 0,-1 0 0,1 1 0,-1-1 0,0 1 0,0 0 0,0 1 0,0-1 0,0 1 0,0-1 0,0 1 0,0 0 0,1 0 0,0 0 0,-1-1 0,2 1 0,-1 0 0,1-1 0,-2 1 0,1 0 0,0 0 0,0 0 0,0 1 0,1-1 0,0 0 0,0 0 0,0 0 0,1 0 0,-1 0 0,0 1 0,0-1 0,0 0 0,-1 1 0,1-1 0,-1 1 0,0 0 0,-1 0 0,3-1 0,0 0 0,0 1 0,0-1 0,-1 1 0,1-1 0,0 1 0,-1 0 0,1 0 0,-2 0 0,1 0 0,-1 0 0,0 0 0,-1 0 0,0 1 0,-1-1 0,-1 1 0,0 0 0,8-2 0,1 0 0,-2 1 0,1-1 0,-1 1 0,-1 0 0,0-1 0,-1 1 0,0 1 0,-2-1 0,0 0 0,-1 1 0,-1 0 0,-2 0 0,0 0 0,6-1 0,0 0 0,-2 0 0,-1 0 0,-1 1 0,-1-1 0,-1 1 0,-1 0 0,-1 0 0,-1 1 0,0 0 0,-1-1 0,15-2 0,-1 0 0,-1 0 0,-1 1 0,-2-1 0,-1 1 0,-1 1 0,-2 0 0,0 0 0,-3 2 0,-1-1 0,-2 1 0,0 1 0,-2 0 0,0 0 0,-1 0 0,1 1 0,8-2 0,-1 0 0,0 1 0,-1 0 0,0 0 0,-2 0 0,0 1 177,8-1 0,0-1 0,-2 1 1,-1 1-1,-2 0 0,-2 0-177,0 1 0,-1 1 0,-3 0 0,-3 0 0,-2 1 580,2-1 1,-3 1-1,-3 0 1,-5 1-581,5-1 0,-5 1 0,-7 2 741,6 0 0,-13 2 0,-18 2 0,-26 4 1</inkml:trace>
  <inkml:trace contextRef="#ctx0" brushRef="#br0" timeOffset="87233">24207 12080 24575,'10'6'0,"37"-3"0,17-1 0,16-2-3277,9 1 0,12-1 0,8-1 2979,-22 1 0,4 0 0,4 0 0,4 0 0,4 0 28,-22 0 1,2 0 0,3 0-1,1 0 1,3 0 0,1 0 0,2 0-1,0 0 270,-5 0 0,1 0 0,2 0 0,1 0 0,2 0 0,0 0 0,1 0 0,2 0 0,-1 0 0,2 0-74,-9 0 1,1 0 0,2 0 0,0 0 0,1 0-1,0 0 1,1 0 0,0 0 0,0 0 0,0 0-1,0 0 1,-1 0 73,3 0 0,1 0 0,1 0 0,1 0 0,-1 0 0,1 0 0,-2 0 0,-1 0 0,-2 0 0,-2 0 0,-4 0 0,-3 0 0,24 0 0,-5 0 0,-3 0 0,-4 0 0,-2 0 0,-4 0 0,-1 0 0,2 0 0,0 0 0,0 0 0,0 0 0,1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7:47:13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24575,'21'0'0,"11"0"0,31 0 0,19 0 0,-31 0 0,2 0-1064,5 0 1,2 0 1063,3 0 0,1 0 0,11 0 0,2 0-888,4 0 1,2 0 887,5 0 0,2 0 0,3 0 0,-1 0 0,1 0 0,-2 0 0,6 0 0,0 0-623,1 0 1,1 0 622,2 0 0,0 0 0,0 0 0,-1 0 0,-7 0 0,-4 0-626,-4 0 0,-2 0 626,-6 0 0,-6 0 0,7 0 0,-16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7:47:14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24575,'14'0'0,"12"0"0,22 0 0,22 0 0,14 0-465,-33 0 1,1 0 464,47 0 0,-4 0 0,-8 0 228,-17 0-228,-8 0 0,-10 0 0,-13 0 0,-11 0 0,-12 0 0,-7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7:47:17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24575,'16'0'0,"10"0"0,4 0 0,3 0 0,-7 0 0,-8 0 0,-2 0 0,-5 0 0,-1 0 0,3 0 0,0 0 0,3 0 0,0 0 0,-2 0 0,0 0 0,-2 0 0,-1 0 0,0 0 0,0 0 0,0 0 0,0 0 0,0 0 0,-5 0 0,-1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7:47:20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24575,'42'0'0,"-3"0"0,13 0 0,-4 0 0,-10 0 0,5 0 0,-7 0 0,-3 0 0,-5 0 0,-4 0 0,-5 0 0,-10 0 0,-2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1:05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438 1408 24575,'12'0'0,"8"0"0,15-2 0,13-3 0,14-6 0,6-2 0,4-2 0,1 2 0,-4 3 0,-7 1 0,-10 1 0,-12 3 0,-9 2 0,-7 1 0,-6 1 0,-6 0 0,-2 1 0,-2 0 0,1 0 0,-1 0 0,1 0 0,-2-2 0,-3-2 0,-2-4 0,-2-4 0,0-4 0,0-1 0,-1-3 0,-2-3 0,-2-7 0,0-11 0,-4-12 0,-2-7 0,-3-3 0,1-2 0,0 9 0,3 6 0,0 6 0,3 11 0,1 6 0,1 7 0,1 5 0,2 3 0,0 1 0,2-3 0,0-7 0,-3-11 0,-4-15 0,-4-5 0,-4-5 0,-4 0 0,-1 3 0,0 2 0,3 7 0,4 9 0,2 9 0,3 6 0,2 3 0,4 3 0,-1-2 0,-3-2 0,-5 4 0,-3 3 0,-1 5 0,-2 4 0,-7 0 0,-6 1 0,-9 1 0,-5 1 0,-4-1 0,-7 2 0,-4 3 0,-5 3 0,-1 2 0,2 2 0,2 0 0,3 0 0,3-2 0,9-1 0,6-4 0,8-2 0,7-1 0,5-1 0,6 4 0,7 19 0,3 40 0,3-8 0,1 7 0,3 21 0,2 5 0,3 9 0,2-1-586,1-10 0,2-5 586,0-15 0,1-6 0,7 22 0,-6-29 0,-2-4 0,-1-10 0,-2-8 0,-1-6 0,-2-4 1172,-2-3-1172,-3-4 0,0 0 0,-2-2 0,1 0 0,-1 1 0,1-2 0,1 1 0,0-1 0,0-2 0,-1 0 0,2-1 0,0 0 0,2 1 0,2-2 0,0-2 0,0-3 0,0-2 0,1 1 0,-1-1 0,3 0 0,3 0 0,3 0 0,10 0 0,11-1 0,9-1 0,8-3 0,-4-3 0,-12 0 0,-11 3 0,-9 1 0,-3 3 0,1 0 0,-1 0 0,0 1 0,-2-1 0,-1 1 0,-2 0 0,0 0 0,-1 0 0,0 0 0,0 0 0,1-1 0,-2 0 0,-3-3 0,-2-1 0,-3-5 0,0-2 0,-2-4 0,-2 2 0,-2 5 0,0 6 0,2 2 0,2 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3:20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24575,'3'7'0,"-1"4"0,-2 12 0,0 12 0,0 8 0,0 4 0,0-2 0,0 2 0,0 0 0,0 3 0,0 5 0,0-1 0,0 3 0,6-1 0,12-5 0,11-1 0,15-2 0,11-2 0,8-3 0,14-5-601,-28-19 1,4-1 600,10-2 0,3-2 0,3 0 0,1-2 0,4-2 0,1-2 0,-1-3 0,2-1 0,8 1 0,6-2 0,-2 0 0,9-2 0,4 1 0,-10-1 0,3 0 0,4 0 0,2 0-662,-6 0 0,4 1 0,1 0 0,2 0 0,0 1 662,-13 0 0,2 0 0,0 1 0,1 0 0,-1 0 0,-1 1 0,-2 0 0,0 1 0,0 1 0,-1-1 0,-2 1 0,-2-1 0,5 2 0,-2-1 0,-2 1 0,-2 0 0,-3-1 0,3 1 0,-4 0 0,-2 0 0,-3-1 0,5 0 0,-3-1 0,-5-1-482,4-1 1,-4 0 481,2 0 0,-1-1 0,-11 0 0,-3-2-87,-5 0 1,-1 1 86,38-1 924,-14 0-924,-14-1 3266,-12 0-3266,-11 0 1221,-8 0-1221,-8-1 236,-5-2-236,-4-4 0,-2-3 0,-4-2 0,-3-3 0,-2-2 0,0-8 0,-1-14 0,-1-9 0,-7-14 0,-6-9 0,-6-6 0,0-1 0,4 5 0,2 3 0,4 4 0,-1-1 0,2 9 0,4 9 0,2 11 0,1 9 0,0-1 0,-1 3 0,0 3 0,1 8 0,1 6 0,1 6 0,0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3:28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24575,'17'0'0,"2"0"0,8 0 0,6 0 0,11 0 0,1 0 0,-5 0 0,-9 0 0,-14 0 0,-3 0 0,-3 0 0,-2 0 0,-3 0 0,1 0 0,-1 0 0,1-1 0,1 0 0,-1-2 0,0 0 0,-3-1 0,-2 2 0,-1 1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3:45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96 24575,'47'-3'0,"43"-13"0,-27 5 0,3-1 0,-1 0 0,-2 1 0,35-8 0,-39 13 0,-24 4 0,-4 0 0,-7 1 0,-5 1 0,-1 7 0,0 4 0,1 10 0,1 6 0,-1 6 0,2 12 0,2 6 0,1 11 0,2 11 0,-3 8-577,-12-28 0,-1 3 577,0 5 0,-1 3 0,0 7 0,-1 4-971,0 7 0,0 2 971,1 2 0,-1 2 0,-1 7 0,0 1 0,-2 0 0,0 0 0,-2-2 0,0-1 0,-2-3 0,-1-2 0,2-4 0,0-2 0,-1-2 0,1-1-567,0-3 1,0-1 566,1-2 0,0 0 0,-1-2 0,0-1 0,1 5 0,1 0 0,0-6 0,-1-1 0,0-4 0,-1 1 0,0 3 0,-1-1 0,0-4 0,-2-2 485,2 2 0,-2-3-485,0 39 1923,-18-31-1923,-11-25 1336,-9-14-1336,-3-8 0,7-8 0,-2 1 0,2-1 0,0 0 0,3-2 0,0-2 0,0-2 0,-3-3 0,-5-2 0,-2 0 0,-3-2 0,4 1 0,3-1 0,6 0 0,7 0 0,6-1 0,6-1 0,3-2 0,4-1 0,3 3 0,2-1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3:55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0 118 24575,'0'9'0,"0"-1"0,0-2 0,0 0 0,0 1 0,1 0 0,0 1 0,1-1 0,0 0 0,2-1 0,0 1 0,2-1 0,0-1 0,0-1 0,0-2 0,-1-5 0,2-3 0,-1-4 0,-1-4 0,1 0 0,-1-2 0,1 0 0,0 1 0,1 0 0,1 1 0,2 0 0,1 0 0,0 1 0,2 0 0,0 0 0,-1 2 0,0 5 0,-6 2 0,-2 3 0</inkml:trace>
  <inkml:trace contextRef="#ctx0" brushRef="#br0" timeOffset="1151">93 680 24575,'0'18'0,"0"1"0,2 4 0,4 5 0,2 0 0,2-4 0,-2-10 0,-3-9 0,-2-5 0,1-4 0,0-2 0,2-6 0,0-2 0,1-1 0,0-1 0,0-2 0,2 0 0,-1 0 0,3 1 0,0 1 0,2 0 0,0 2 0,1 0 0,0 2 0,1 1 0,1-1 0,1 1 0,-1 0 0,-2 3 0,-2 1 0,-2 2 0,-2 3 0,-4 1 0,-2 1 0</inkml:trace>
  <inkml:trace contextRef="#ctx0" brushRef="#br0" timeOffset="2100">33 1215 24575,'3'10'0,"-1"-2"0,-2 5 0,0 2 0,0 0 0,0 0 0,1-6 0,1-4 0,3-4 0,3-10 0,3-8 0,6-8 0,6 0 0,0 4 0,2 6 0,-2 2 0,2 0 0,2 1 0,-1 1 0,-2 1 0,-3 1 0,-4 3 0,-4 1 0,-2 1 0,-3 2 0,-4 2 0,-1-1 0</inkml:trace>
  <inkml:trace contextRef="#ctx0" brushRef="#br0" timeOffset="2967">49 1825 24575,'3'8'0,"2"0"0,3 4 0,3 2 0,2 2 0,2 0 0,-2-1 0,-1-3 0,-1-2 0,-1-4 0,-1-3 0,1-7 0,1-5 0,1-5 0,4-2 0,2 0 0,0-1 0,0 2 0,-5 2 0,0 2 0,-4 3 0,-1 1 0,-1 2 0,-1 3 0,-3 0 0,-1 2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4:04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1 402 24575,'1'4'0,"1"0"0</inkml:trace>
  <inkml:trace contextRef="#ctx0" brushRef="#br0" timeOffset="1142">59 128 24575,'5'-1'0,"2"-6"0,2-5 0,3-5 0,2-1 0,-2 3 0,-4 3 0,-2 3 0,-1 2 0,1 0 0,-2 0 0,0 0 0,-3 2 0,-1 2 0,-2 2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4:07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47 24575,'-19'24'0,"-3"6"0,-4 13 0,3 2 0,10-5 0,2 1 0,4-4 0,3 0 0,1-7 0,1-6 0,1-6 0,3-6 0,0-4 0,4-3 0,2-3 0,2-3 0,4-3 0,5-5 0,5-4 0,7-3 0,3 0 0,2 0 0,2 2 0,-2 2 0,-2 2 0,-7 2 0,-8 2 0,-6 2 0,-5 0 0,-9 2 0,-14 0 0,-17 2 0,-17 1 0,-8 6 0,7 3 0,12 1 0,13-1 0,9-3 0,2-1 0,2 1 0,6-3 0,1-1 0</inkml:trace>
  <inkml:trace contextRef="#ctx0" brushRef="#br0" timeOffset="925">566 7 24575,'0'6'0,"0"2"0,0 8 0,0 5 0,0 2 0,0 2 0,0-3 0,0-1 0,0-3 0,0-2 0,0-3 0,1-3 0,4-7 0,5-12 0,6-11 0,2-7 0,-2 1 0,-3 7 0,-1 4 0,-1 1 0,3-1 0,0 1 0,0 0 0,0 2 0,-1 2 0,-1 2 0,-1 4 0,-3 3 0,-2 6 0,-3 6 0,-1 9 0,-4 6 0,-2 4 0,-2 4 0,-3 0 0,1-2 0,0 0 0,2-4 0,3-3 0,1-6 0,1-4 0,1-5 0,-1-4 0,1-4 0,0-1 0,0-3 0</inkml:trace>
  <inkml:trace contextRef="#ctx0" brushRef="#br0" timeOffset="1775">373 735 24575,'0'5'0,"0"1"0,0 4 0,0 4 0,0 3 0,0 0 0,0 2 0,0 1 0,0 8 0,0 1 0,0 3 0,0 1 0,0-3 0,0 0 0,0-5 0,0-4 0,0-6 0,1-4 0,2-4 0,3-5 0,2-5 0,1-6 0,2-8 0,1-3 0,2-14 0,1-9 0,-5-4 0,-3 4 0,-6 18 0,-8 14 0,-3 9 0,-2 3 0,0 2 0,1 4 0,0 1 0,3 1 0,0 0 0,2-1 0,3-4 0,1-1 0</inkml:trace>
  <inkml:trace contextRef="#ctx0" brushRef="#br0" timeOffset="2434">752 703 24575,'0'8'0,"0"3"0,0 4 0,0 3 0,0 1 0,0 0 0,0-1 0,0-3 0,0-1 0,0-5 0,1-5 0,1-7 0,2-4 0,1-5 0,0 0 0,1 1 0,0 0 0,0 3 0,4-1 0,0 2 0,1 1 0,0 1 0,-1 2 0,-1 1 0,-2 2 0,-1-1 0,-1 7 0,-2 20 0,-1 22 0,-2 20 0,0 4 0,0-21 0,0-19 0,0-17 0,0-11 0,0 0 0</inkml:trace>
  <inkml:trace contextRef="#ctx0" brushRef="#br0" timeOffset="3350">620 1221 24575,'0'17'0,"0"1"0,0 9 0,0 2 0,-2 1 0,0 5 0,0-4 0,1 0 0,2-8 0,2-12 0,1-6 0,3-5 0,1-1 0,2-1 0,0-4 0,0-3 0,-1-3 0,1-3 0,0 0 0,-1-2 0,-1 1 0,-2 2 0,-1 2 0,-2 3 0,-2 1 0,-4 4 0,-2 1 0,-4 2 0,-1 0 0,0 2 0,1 1 0,1 3 0,2 1 0,1 1 0,1-2 0,1-1 0,1-2 0,1 0 0</inkml:trace>
  <inkml:trace contextRef="#ctx0" brushRef="#br0" timeOffset="3943">992 1259 24575,'0'12'0,"0"-4"0,0 0 0,0-3 0,0 0 0,0 1 0,0 2 0,0 1 0,0-3 0,2-22 0,2 2 0,1-13 0,1 17 0,-2 11 0,-3 11 0,0 14 0,2 8 0,3 9 0,2 6 0,2-1 0,0 0 0,0-6 0,-1-6 0,-1-9 0,-2-6 0,-3-11 0,-1-5 0</inkml:trace>
  <inkml:trace contextRef="#ctx0" brushRef="#br0" timeOffset="4875">481 1782 24575,'6'-1'0,"-3"3"0,-1 6 0,-2 6 0,0 4 0,0 2 0,0 1 0,0 3 0,0 4 0,0 0 0,0 1 0,0-3 0,0-3 0,0-5 0,2-4 0,2-5 0,3-4 0,3-5 0,0-5 0,1-2 0,1-3 0,-1-1 0,0-2 0,0-1 0,-1 2 0,1 0 0,-2 1 0,-2 3 0,-2 0 0,-4 2 0,-9 2 0,-10 2 0,-6 1 0,-2 1 0,12 0 0,5 0 0</inkml:trace>
  <inkml:trace contextRef="#ctx0" brushRef="#br0" timeOffset="5676">789 1860 24575,'0'6'0,"0"1"0,0 5 0,0 4 0,0 2 0,0 3 0,0 2 0,0-1 0,0 1 0,0-1 0,0-4 0,1-3 0,1-4 0,1-4 0,2-3 0,-2-6 0,0-3 0,0-6 0,-1-4 0,1-1 0,2-2 0,-1 3 0,2 2 0,-1 0 0,1 2 0,2 1 0,2 1 0,1 1 0,2 2 0,0-2 0,-2 1 0,1 2 0,-3 7 0,-6 14 0,-1 7 0,-5 6 0,-2-4 0,1-6 0,1 0 0,0-2 0,1-2 0,1-4 0,-1-1 0,0-2 0,1-1 0,0-3 0,0-1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4:39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1 238 24575,'12'21'0,"2"-1"0,2-1 0,-3-7 0,-4-4 0,-4-4 0,0 0 0,1-2 0,0-1 0,0-3 0,0-4 0,1-5 0,0-2 0,1-3 0,0 1 0,-1-1 0,1 0 0,0 2 0,0-2 0,-1 2 0,3-4 0,5-2 0,3 1 0,5-2 0,-1 1 0,1 0 0,-1 2 0,-4 2 0,-4 4 0,-2 3 0,-3 2 0,-2 2 0,-4 2 0,0 2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4:41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0 164 24575,'0'7'0,"0"-1"0,0-1 0,0 1 0,0 2 0,0 1 0,0 1 0,2 0 0,2 3 0,2 0 0,2-1 0,-1 0 0,0-2 0,-2-4 0,1-1 0,0-4 0,1-4 0,0-7 0,-1-4 0,1-5 0,-2-1 0,1 0 0,2 1 0,-1 3 0,3 0 0,4-1 0,4 1 0,8-2 0,10-3 0,10-3 0,2-2 0,-6 6 0,-15 7 0,-12 9 0,-8 4 0,-5 2 0,0-1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4:41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0 182 24575,'0'6'0,"0"0"0,0 1 0,0 2 0,0-1 0,0 0 0,0-2 0,1 0 0,1-2 0,1-2 0,2 0 0,0-1 0,2-1 0,0-3 0,4-5 0,3-4 0,3-5 0,2 0 0,3 0 0,0 1 0,-1 1 0,3-2 0,-3 3 0,2-3 0,1-1 0,-1 3 0,2-1 0,-4 3 0,-1 2 0,-3 1 0,-2 3 0,-5 4 0,-3 2 0,-6 5 0,-1-1 0,-1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4:43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0 114 24575,'6'11'0,"9"3"0,10 0 0,7-3 0,-4-5 0,-5-6 0,-3-5 0,-1-4 0,3-3 0,0-2 0,1-1 0,2-1 0,-1 1 0,-2 1 0,-4 1 0,-2 3 0,-3 0 0,-2 1 0,-2 2 0,-2 0 0,-1 3 0,0 1 0,0-1 0,0 2 0,-2 2 0,0 1 0,-3 1 0,-1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4:54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95 24575,'0'14'0,"0"1"0,0 6 0,0 10 0,0 2 0,0 11 0,0-5 0,0-4 0,0 4 0,0-14 0,0-1 0,3-9 0,15-15 0,14-10 0,6-8 0,0-4 0,-11 4 0,-3 4 0,4 0 0,5 0 0,4 0 0,8 0 0,9 2 0,11 2 0,22 3-813,12 1 813,-44 4 0,3 0 0,4 0 0,1 2 0,3-1 0,1 0-652,4 1 0,1 0 652,0-1 0,-1 1 0,-3 0 0,-1 0-219,-9 0 0,-1 0 219,42 0 0,-12 1 0,-12 2 0,0 1 0,-8 2 741,-2 1-741,-3 1 1325,-2 1-1325,3-2 489,-1 0-489,7-2 0,3 1 0,11-1 0,9 1 0,7-1 0,-9-2 0,-25-1 0,-23-2 0,-21-1 0,-12-1 0,-4-4 0,-2-6 0,1-5 0,3-9 0,0-3 0,1-4 0,2-3 0,-1 1 0,1 1 0,-1 3 0,-1 6 0,-2 6 0,-1 5 0,-3 6 0,-1 4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4:59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1 133 24575,'0'6'0,"0"3"0,0-1 0,0 0 0,0 0 0,3-2 0,5-1 0,4 0 0,4 0 0,4-2 0,3-1 0,2-1 0,1-1 0,4 0 0,0 0 0,0 0 0,-2-2 0,-4-1 0,-3-3 0,-3-2 0,2 1 0,2-4 0,0-1 0,1-2 0,-1-1 0,-2 0 0,2-2 0,2-1 0,0 0 0,-1 0 0,-3 1 0,-4 5 0,-8 7 0,-4 5 0,-3 2 0,-1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5:11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333 2908 24575,'0'13'0,"0"4"0,0 16 0,0 10 0,0 1 0,0-2 0,0-18 0,0-29 0,-1-39 0,-6-42 0,2 27 0,0-4-573,-2-5 1,0-1 572,0 2 0,0 1 0,0-2 0,1 5 0,-1-2 0,1 10 0</inkml:trace>
  <inkml:trace contextRef="#ctx0" brushRef="#br0" timeOffset="2143">261 2158 24575,'0'19'0,"0"3"0,0 19 0,0 18 0,0 18 0,0-21 0,0 3 0,0 6 0,0 0 0,-1 1 0,0-2 0,0-7 0,0-5 0,-1 7 0,0-32 0,2-22 0,0-10 0,0-6 0,0-5 0,0-2 0,0 0 0,0-1 0,0 1 0,0 1 0,0-4 0,0-3 0,0-11 0,0-14 0,0-17 0,0-19-439,0 35 1,0-2 438,0-5 0,0 0 0,0-4 0,0 2 0,0 3 0,0 2 0,-2 1 0,-3 0-179,-11-44 179,-7 17 0,-9 6 0,-1 19 0,1 8 0,1 1 0,5 6 869,5 6-869,6 6 187,5 7-187,5 4 0,4 3 0,3 5 0,1 3 0,1 0 0,0 0 0,6-3 0,12-7 0,31-12 0,-6 6 0,6-1-1664,24-10 0,11-1 1664,-10 4 0,7-1 0,3-2-1384,-6 4 1,2-2-1,4 0 1,2 0 1383,-6 2 0,3 0 0,2 0 0,0 0 0,1 0-770,2-1 0,1 0 1,0 0-1,1 1 0,0-1 770,-13 5 0,-1 1 0,2-1 0,-1 0 0,0 1 0,0 0 0,0 0 0,1 1 0,-1 0 0,0 0 0,0 0 0,-2 1 0,9-2 0,-1 0 0,-1 0 0,-1 1 0,0 0-407,-2 1 1,0 0-1,0 1 1,-2 0-1,-3 2 407,5-2 0,-2 1 0,-2 2 0,-3 0 54,10-1 0,-4 1 0,-2 1-54,-9 2 0,-2 1 0,-4 1 1180,14-1 1,-5 2-1181,-10 1 0,-4 3 4091,23-2-4091,-27 7 4378,-23 1-4378,-13 1 2696,-8 3-2696,-4 8 1056,-4 9-1056,8 32 0,4 9 0,4 13 0,3 4 0,2 10 0,2 6-697,-6-19 0,1 5 0,1 3 0,0 2 0,1 2 697,-1-3 0,1 2 0,0 3 0,1 1 0,0 0 0,0 0-801,1 5 1,1 2-1,1 1 1,-1-1-1,-1-1 1,0-4 800,1 3 0,-1-2 0,0-2 0,-1-3 0,0-4 0,0 2 0,0-4 0,-1-4 0,-1-6-385,8 24 1,-3-15 384,2 5-105,-13-35 1,0 0 104,7 24 2300,-5-14-2300,-9-17 5323,-26-30-5323,-41-24 0,1-7 0,-8-4-909,-21-7 0,-8 0 909,19 8 0,-4 1 0,-3 0-995,11 3 1,-3 0-1,-2 0 1,-1 0 994,-8 0 0,-1 0 0,-3 1 0,-1 0-819,11 2 0,-2 0 0,-1 1 0,-1 0 0,0 0 819,-3 2 0,-2-1 0,1 2 0,-2 0 0,1 0 0,0 2 0,-2 0 0,1 1 0,0 0 0,0 2 0,3-1 0,-1 2 0,1 0 0,1 1 0,0 0 0,2 0 0,0 1 0,1 1 0,1-1 0,1 1-475,-10 0 0,3-1 0,0 1 1,2 1 474,7 0 0,1 1 0,1 0 0,1 1-10,-16 1 1,2 2 0,3 1 9,9 2 0,3 1 0,0 2 452,1 1 1,1 1 0,3 1-453,-16 6 0,5 0 1685,12-1 0,5 1-1685,10-4 0,4 1 3167,-30 13-3167,11-2 2773,21-6-2773,13-3 2013,16-6-2013,8-3 195,5-2 0,4-6 0,2-2 0</inkml:trace>
  <inkml:trace contextRef="#ctx0" brushRef="#br0" timeOffset="3151">2764 1427 24575,'2'0'0,"-1"2"0,-3 2 0,-3 4 0,0 6 0,-1 2 0,1 5 0,2 2 0,1 3 0,1-1 0,0 1 0,1-2 0,0-4 0,0 1 0,0-2 0,-1 1 0,1 2 0,0-3 0,0 1 0,0-3 0,1-3 0,3-3 0,2-5 0,3-1 0,3-3 0,2-2 0,3 1 0,3-1 0,1-4 0,3-8 0,-1-5 0,3-11 0,2-6 0,-3-3 0,-4 2 0,-10 10 0,-12 12 0,-8 7 0,-8 5 0,-4 1 0,-2 0 0,-1 0 0,3-1 0,-1 2 0,4 1 0,1 2 0,3 1 0,3 0 0,1 1 0,6-3 0,0 0 0</inkml:trace>
  <inkml:trace contextRef="#ctx0" brushRef="#br0" timeOffset="3893">3227 1387 24575,'11'-6'0,"-6"2"0,-4 5 0,-6 5 0,-1 4 0,0 7 0,1 5 0,1 4 0,0 3 0,3-1 0,0-1 0,0-2 0,1-4 0,0-1 0,0-4 0,-1-1 0,1-4 0,2-2 0,7-2 0,5 1 0,7-2 0,7-2 0,1-1 0,2-3 0,-3 1 0,-2-5 0,-3-5 0,-4-6 0,0-6 0,-2-4 0,2-6 0,-1-8 0,-5-6 0,-4-2 0,-13 6 0,-8 13 0,-5 11 0,-5 10 0,1 4 0,-1 1 0,-1 0 0,2 1 0,1 1 0,0 0 0,1 0 0,2-1 0,2 1 0,1 0 0,3 0 0,1 0 0,2 1 0,4-1 0,1 1 0</inkml:trace>
  <inkml:trace contextRef="#ctx0" brushRef="#br0" timeOffset="11385">1551 5857 24575,'0'-11'0,"-5"-8"0,-4-15 0,-8-12 0,-2-8 0,-1 0 0,1 0 0,4 5 0,0 2 0,2-1 0,2 5 0,0 3 0,2 2 0,2 6 0,-4-4 0,-3-7 0,-5-8 0,-11-23 0,12 28 0,-1-2-399,-1-5 1,-1-1 398,0-5 0,0-2 0,1-1 0,1 0 0,2 4 0,1 1 0,1 1 0,0 1 0,-8-39-87,11 21 87,2 10 0,7 20 0,2 12 0,0 11 0,1 4 793,20-6-793,20-4 0,18-5 0,3 4 0,11-3 0,9-1 0,5 0-957,-13 6 1,6-1 0,4 0 0,3 0 0,3-1 0,0 2 0,0-1 956,-5 3 0,2 0 0,2 0 0,0 0 0,1 1 0,1 0 0,-1 1 0,1 0-568,4 1 1,0 0 0,1 1 0,0 0 0,1 1 0,-1 1 0,-1 1 0,0 1 567,-5 2 0,0 0 0,0 2 0,-1 0 0,0 1 0,-1 0 0,-1 1 0,0 1-434,6 1 1,-3 0-1,0 1 1,0 1 0,0 0-1,1 1 1,1-1 433,-4 0 0,0 1 0,1-1 0,1 1 0,1 0 0,-1 0 0,1 0 0,-1 0-254,2 1 0,0 0 1,0 0-1,1 1 1,-1-1-1,0 1 1,0 0-1,-1 0 254,9 0 0,0 0 0,0 1 0,-1-1 0,-1 1 0,0 0 0,0 0 0,-4 0 0,1 1 0,-2-1 0,1 1 0,-1 0 0,-1 0 0,-1 0 0,10 1 0,-1 0 0,-1 0 0,0 0 0,-2 0 0,-2 1 26,8-1 1,-1 1 0,-3 0 0,0 0 0,-3 1-27,-8-2 0,-1 1 0,-1 0 0,-3 0 0,-2 0 246,5 0 0,-3 0 0,-3 0 0,-3-1-246,7 0 0,-3-1 0,-4 0 950,25 0 0,-5-2-950,-14-1 0,-4-1 1687,-17 0 0,-6-2-1687,25-4 4699,-30 0-4699,-20 3 3236,-12 3-3236,-7 6 1768,-5 18-1768,-1 25 0,1 38 0,0-25 0,2 6-1039,2 15 1,4 6 1038,-3-20 0,1 2 0,1 0 0,0-1 0,1 1 0,0-1 0,0 1 0,1 0 0,1 1 0,0 0 0,0 0 0,1 1 0,1 4 0,1 0 0,1 1-87,0-1 0,1 1 1,0-1 86,-2-7 0,0-2 0,-1-2 0,6 12 0,-2-7 0,6 17 0,-10-34 0,-15-28 2332,-15-14-2332,-17-6 294,-28 0-294,-32-1 0,29-1 0,-6 0-1259,-16 0 0,-5 1 1259,19 0 0,-3 0 0,-2 1-1221,-11 1 0,-2 1 0,-3 1 1221,15 0 0,-1 1 0,-2 1 0,-2 1-1119,-14 2 1,-3 2 0,-2 0 0,-2 2 1118,14-2 0,-2 0 0,0 1 0,-2 0 0,-1 1-651,-5 1 0,-2 1 0,0 0 0,-1 0 0,-1 0 651,12-3 0,0 1 0,-1 0 0,0 0 0,-1-1 0,1 1-260,-1-1 0,0 0 0,0 1 0,0-1 0,-1-1 0,0 0 260,-4 1 0,0-1 0,-1-1 0,-1 0 0,1 0 0,-2 0-115,12-3 1,-1 1-1,0-1 1,-1 0-1,1 0 1,0-1-1,0 0 115,-10 0 0,0 0 0,1 0 0,0-1 0,0 0 0,1-1-19,1 0 0,1-1 0,0 0 1,0 0-1,1-1 0,1 0 19,3 0 0,1-1 0,-1 0 0,2 0 0,1 0 0,2 0 0,-6-1 0,1 0 0,3 0 0,0 0 0,0-1 155,-16 1 0,1 0 1,1-1-1,3 0-155,9 1 0,3-1 0,1 0 0,2 0 0,-14 0 0,3 0 0,0 1 402,2-1 1,0 0-1,2 0-402,8 0 0,2 0 0,3 0 664,6 0 1,3 0-1,0 0-664,-28-1 0,3 2 0,8-1 0,2 2 0,-2 0 0,2 2 1961,10-1 0,1 0-1961,4 2 0,1 1 1766,6-1 1,4 0-1767,-27 4 2932,8 1-2932,28-2 2176,13 1-2176,0 0 0,2 1 0,-3 0 0,-1 1 0,3-2 0,5-2 0,6 0 0,8-3 0,7-3 0,5-1 0,3-2 0,0 0 0,-1 1 0</inkml:trace>
  <inkml:trace contextRef="#ctx0" brushRef="#br0" timeOffset="12202">4036 4763 24575,'0'-4'0,"0"7"0,0 8 0,0 8 0,0 4 0,0 7 0,0 9 0,0 11 0,0 6 0,1-3 0,2-4 0,2-6 0,2-3 0,2 3 0,1-9 0,-2-7 0,0-13 0,-5-9 0,-2-6 0</inkml:trace>
  <inkml:trace contextRef="#ctx0" brushRef="#br0" timeOffset="12802">4463 4577 24575,'10'0'0,"3"0"0,3 0 0,4 0 0,-1 0 0,-1 2 0,-6 4 0,-7 12 0,-11 28 0,-4 15 0,-3 6 0,-1 0 0,3-14 0,1 0 0,0-4 0,3-8 0,2-6 0,2-8 0,5-8 0,9-7 0,13-10 0,17-9 0,9-3 0,7-3 0,4 3 0,-7 1 0,-4 1 0,-11 3 0,-7 0 0,-8-1 0,-6-1 0,-5-2 0,-7 4 0,-1 0 0</inkml:trace>
  <inkml:trace contextRef="#ctx0" brushRef="#br0" timeOffset="20086">6960 2684 24575,'0'6'0,"0"3"0,0 3 0,0 9 0,0 6 0,0 10 0,0 6 0,1 2 0,2 1 0,2-3 0,2-3 0,0-6 0,0-8 0,0-6 0,0-6 0,-1-6 0,-2-3 0,-1-3 0</inkml:trace>
  <inkml:trace contextRef="#ctx0" brushRef="#br0" timeOffset="20686">7208 2669 24575,'0'14'0,"0"0"0,0 1 0,0 3 0,0-2 0,0 2 0,0 0 0,0 1 0,0 3 0,0 6 0,0 8 0,0 3 0,0-2 0,3-9 0,0-12 0,0-8 0,-1-5 0,-2-2 0</inkml:trace>
  <inkml:trace contextRef="#ctx0" brushRef="#br0" timeOffset="23136">4120 4618 24575,'0'13'0,"-2"-2"0,-3 7 0,-6 9 0,-12 26 0,-10 28 0,2 2 0,2-1 0,10-20 0,6-14 0,2 1 0,3-6 0,2-5 0,3-8 0,1-6 0,1-6 0,1-4 0,5-1 0,8 0 0,8-2 0,9-1 0,4 0 0,1-3 0,2-1 0,-3-3 0,-4-1 0,-6-2 0,-5 0 0,-4-5 0,-3-7 0,-4-10 0,-2-6 0,-2-3 0,-1 0 0,2 0 0,-2 2 0,0 4 0,-2 1 0,-1 6 0,-1 7 0,-11 5 0,-12 4 0,-13 2 0,-2 1 0,6 2 0,9 2 0,7 3 0,0 0 0,3 0 0,1-1 0,4 0 0,1 0 0,4-4 0,2 0 0</inkml:trace>
  <inkml:trace contextRef="#ctx0" brushRef="#br0" timeOffset="24145">5139 4708 24575,'-3'13'0,"0"13"0,3 14 0,0 11 0,0-8 0,0-8 0,0-8 0,0-4 0,0 3 0,0-1 0,0 0 0,0-3 0,0-1 0,0-3 0,0-3 0,0-2 0,0-4 0,0-2 0,0 0 0,0 0 0,0 0 0,0-1 0,0 1 0,0-2 0,0 1 0,0 0 0,0 0 0,0 0 0,0 0 0,0-1 0,0 1 0,0 0 0,0-1 0,0 1 0,0-3 0,0-1 0</inkml:trace>
  <inkml:trace contextRef="#ctx0" brushRef="#br0" timeOffset="25003">5119 5003 24575,'-7'0'0,"2"0"0,-1 0 0,-1 0 0,-4 0 0,5 0 0,0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5:51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0 726 24575,'3'-10'0,"-1"-3"0,-1-11 0,-1-23 0,0-10 0,0-25 0,0-5 0,0 2 0,0-3 0,0 19 0,0 7 0,0 19 0,1 11 0,5 14 0,8 11 0,9 6 0,43 5 0,5-3 0,13 0 0,1 0 0,10 0 0,3 0 0,-13-1 0,3 1 0,1-1 0,-1 0-355,-4 0 1,1 0 0,-1 0 0,-3 0 354,20 0 0,-2 0 0,-8 0 0,7 0 0,-9 0 0,-17 0 0,-5 1 0,-10 0 0,-6 0 0,9 1 0,-7 0 0,-16-1 0,-11-1 0,-7 1 0,-4 0 1417,-6 1-1417,-3 2 0,-3 0 0,-3 2 0,1 4 0,-1 3 0,-1 4 0,-2 3 0,-2 1 0,0 1 0,1 1 0,2 8 0,1 6 0,1 12 0,-1 10 0,3 16 0,7 15 0,5 0 0,7-2 0,2-9 0,-1-5 0,-1-5 0,-4-11 0,-1-16 0,-3-22 0,-3-11 0,-3-11 0,-4-4 0,-1-1 0,-1 1 0,0-1 0,0 0 0,1 1 0,-1-2 0,0 0 0,-1-1 0,0 3 0,0 1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07:25:52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24575,'10'0'0,"8"0"0,21 0 0,22 0 0,24 0 0,-29 0 0,3 0-895,9 0 0,3 0 895,5 0 0,2 0-707,5 0 1,2 0 706,1 0 0,-1 0 0,2 0 0,-1 0-1000,6 0 0,1 0 1000,-1 0 0,1 0 0,-2 0 0,1 0 0,-3 0 0,0 0-644,-5 0 0,-2 0 644,-4 0 0,-1 0 0,-6 0 0,-2 0 0,-3 0 0,-2 0 412,-9 0 0,-2 0-412,41 0 0,-11 0 0,-15 0 0,7 0 0,-3 0 0,3 0 1582,6 0-1582,1 0 2147,-4 0-2147,-15 0 1706,-18-1-1706,-20 0 0,-13 1 0,-7-1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BF1D-22D3-6043-9054-525F5271E47D}">
  <dimension ref="A1:Q48"/>
  <sheetViews>
    <sheetView topLeftCell="G60" zoomScale="75" workbookViewId="0">
      <selection activeCell="R10" sqref="R10"/>
    </sheetView>
  </sheetViews>
  <sheetFormatPr baseColWidth="10" defaultRowHeight="16" x14ac:dyDescent="0.2"/>
  <cols>
    <col min="2" max="2" width="34.5" bestFit="1" customWidth="1"/>
    <col min="3" max="3" width="7.1640625" bestFit="1" customWidth="1"/>
    <col min="4" max="4" width="22.83203125" customWidth="1"/>
    <col min="5" max="7" width="19" customWidth="1"/>
  </cols>
  <sheetData>
    <row r="1" spans="1:17" ht="19" x14ac:dyDescent="0.2"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</row>
    <row r="2" spans="1:17" x14ac:dyDescent="0.2">
      <c r="J2">
        <f>2^7</f>
        <v>128</v>
      </c>
      <c r="K2">
        <f>2^6</f>
        <v>64</v>
      </c>
      <c r="L2">
        <f>2^5</f>
        <v>32</v>
      </c>
      <c r="M2">
        <f>2^4</f>
        <v>16</v>
      </c>
      <c r="N2">
        <f>2^3</f>
        <v>8</v>
      </c>
      <c r="O2">
        <f>2^2</f>
        <v>4</v>
      </c>
      <c r="P2">
        <f>2^1</f>
        <v>2</v>
      </c>
      <c r="Q2">
        <f>2^0</f>
        <v>1</v>
      </c>
    </row>
    <row r="3" spans="1:17" x14ac:dyDescent="0.2">
      <c r="A3">
        <v>1</v>
      </c>
      <c r="B3" t="s">
        <v>14</v>
      </c>
      <c r="D3" t="s">
        <v>89</v>
      </c>
      <c r="E3">
        <v>2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">
      <c r="D4" t="s">
        <v>12</v>
      </c>
      <c r="E4">
        <f>2^E3</f>
        <v>4</v>
      </c>
    </row>
    <row r="6" spans="1:17" ht="17" thickBot="1" x14ac:dyDescent="0.25">
      <c r="M6" s="96" t="s">
        <v>79</v>
      </c>
      <c r="N6" s="96"/>
      <c r="O6" s="96"/>
      <c r="P6" s="96"/>
      <c r="Q6" s="97"/>
    </row>
    <row r="7" spans="1:17" x14ac:dyDescent="0.2">
      <c r="A7">
        <v>2</v>
      </c>
      <c r="B7" t="s">
        <v>16</v>
      </c>
      <c r="D7" t="s">
        <v>15</v>
      </c>
      <c r="E7" t="s">
        <v>32</v>
      </c>
      <c r="M7" s="98" t="s">
        <v>119</v>
      </c>
      <c r="N7" s="54">
        <v>255</v>
      </c>
      <c r="O7" s="55">
        <v>255</v>
      </c>
      <c r="P7" s="55">
        <v>255</v>
      </c>
      <c r="Q7" s="56">
        <v>192</v>
      </c>
    </row>
    <row r="8" spans="1:17" ht="17" thickBot="1" x14ac:dyDescent="0.25">
      <c r="E8" t="s">
        <v>33</v>
      </c>
      <c r="M8" s="98"/>
      <c r="N8" s="50">
        <v>11111111</v>
      </c>
      <c r="O8" s="51">
        <v>11111111</v>
      </c>
      <c r="P8" s="51">
        <v>11111111</v>
      </c>
      <c r="Q8" s="57">
        <v>11000000</v>
      </c>
    </row>
    <row r="9" spans="1:17" ht="17" thickBot="1" x14ac:dyDescent="0.25">
      <c r="M9" s="59"/>
      <c r="N9" s="26"/>
      <c r="O9" s="27"/>
      <c r="P9" s="27"/>
      <c r="Q9" s="28"/>
    </row>
    <row r="10" spans="1:17" x14ac:dyDescent="0.2">
      <c r="A10">
        <v>3</v>
      </c>
      <c r="B10" t="s">
        <v>17</v>
      </c>
      <c r="C10" s="9" t="s">
        <v>33</v>
      </c>
      <c r="D10">
        <v>255</v>
      </c>
      <c r="E10">
        <v>255</v>
      </c>
      <c r="F10">
        <v>255</v>
      </c>
      <c r="G10">
        <f>SUM(J2:K2)</f>
        <v>192</v>
      </c>
      <c r="M10" s="98" t="s">
        <v>120</v>
      </c>
      <c r="N10" s="58">
        <v>192</v>
      </c>
      <c r="O10" s="55">
        <v>168</v>
      </c>
      <c r="P10" s="55">
        <v>100</v>
      </c>
      <c r="Q10" s="56">
        <v>1</v>
      </c>
    </row>
    <row r="11" spans="1:17" ht="17" thickBot="1" x14ac:dyDescent="0.25">
      <c r="M11" s="98"/>
      <c r="N11" s="50">
        <v>11000000</v>
      </c>
      <c r="O11" s="51">
        <v>10101000</v>
      </c>
      <c r="P11" s="52" t="s">
        <v>115</v>
      </c>
      <c r="Q11" s="53" t="s">
        <v>116</v>
      </c>
    </row>
    <row r="12" spans="1:17" ht="17" thickBot="1" x14ac:dyDescent="0.25">
      <c r="M12" s="27"/>
      <c r="N12" s="26"/>
      <c r="O12" s="27"/>
      <c r="P12" s="27"/>
      <c r="Q12" s="28"/>
    </row>
    <row r="13" spans="1:17" x14ac:dyDescent="0.2">
      <c r="A13">
        <v>4</v>
      </c>
      <c r="B13" t="s">
        <v>19</v>
      </c>
      <c r="D13" t="s">
        <v>20</v>
      </c>
      <c r="E13">
        <f>256-G10</f>
        <v>64</v>
      </c>
      <c r="M13" s="98" t="s">
        <v>121</v>
      </c>
      <c r="N13" s="54">
        <v>192</v>
      </c>
      <c r="O13" s="55">
        <v>168</v>
      </c>
      <c r="P13" s="55">
        <v>100</v>
      </c>
      <c r="Q13" s="56">
        <v>62</v>
      </c>
    </row>
    <row r="14" spans="1:17" ht="17" thickBot="1" x14ac:dyDescent="0.25">
      <c r="D14" t="s">
        <v>88</v>
      </c>
      <c r="E14">
        <f>2^(8-E3)</f>
        <v>64</v>
      </c>
      <c r="M14" s="98"/>
      <c r="N14" s="50">
        <v>11000000</v>
      </c>
      <c r="O14" s="51">
        <v>10101000</v>
      </c>
      <c r="P14" s="52" t="s">
        <v>115</v>
      </c>
      <c r="Q14" s="53" t="s">
        <v>117</v>
      </c>
    </row>
    <row r="15" spans="1:17" x14ac:dyDescent="0.2">
      <c r="A15">
        <v>5</v>
      </c>
      <c r="B15" t="s">
        <v>21</v>
      </c>
      <c r="D15">
        <v>0</v>
      </c>
    </row>
    <row r="16" spans="1:17" x14ac:dyDescent="0.2">
      <c r="D16">
        <v>64</v>
      </c>
    </row>
    <row r="17" spans="3:17" ht="17" thickBot="1" x14ac:dyDescent="0.25">
      <c r="D17">
        <v>128</v>
      </c>
      <c r="J17" t="s">
        <v>84</v>
      </c>
      <c r="M17" s="96" t="s">
        <v>80</v>
      </c>
      <c r="N17" s="96"/>
      <c r="O17" s="96"/>
      <c r="P17" s="96"/>
      <c r="Q17" s="97"/>
    </row>
    <row r="18" spans="3:17" x14ac:dyDescent="0.2">
      <c r="D18">
        <f>D17+E13</f>
        <v>192</v>
      </c>
      <c r="J18" t="s">
        <v>85</v>
      </c>
      <c r="M18" s="98" t="s">
        <v>119</v>
      </c>
      <c r="N18" s="54">
        <v>255</v>
      </c>
      <c r="O18" s="55">
        <v>255</v>
      </c>
      <c r="P18" s="55">
        <v>255</v>
      </c>
      <c r="Q18" s="56">
        <v>192</v>
      </c>
    </row>
    <row r="19" spans="3:17" ht="17" thickBot="1" x14ac:dyDescent="0.25">
      <c r="D19">
        <f>D18+E13</f>
        <v>256</v>
      </c>
      <c r="M19" s="98"/>
      <c r="N19" s="50">
        <v>11111111</v>
      </c>
      <c r="O19" s="51">
        <v>11111111</v>
      </c>
      <c r="P19" s="51">
        <v>11111111</v>
      </c>
      <c r="Q19" s="57">
        <v>11000000</v>
      </c>
    </row>
    <row r="20" spans="3:17" ht="17" thickBot="1" x14ac:dyDescent="0.25">
      <c r="M20" s="59"/>
      <c r="N20" s="26"/>
      <c r="O20" s="27"/>
      <c r="P20" s="27"/>
      <c r="Q20" s="28"/>
    </row>
    <row r="21" spans="3:17" ht="17" thickBot="1" x14ac:dyDescent="0.25">
      <c r="M21" s="98" t="s">
        <v>120</v>
      </c>
      <c r="N21" s="58">
        <v>192</v>
      </c>
      <c r="O21" s="55">
        <v>168</v>
      </c>
      <c r="P21" s="55">
        <v>100</v>
      </c>
      <c r="Q21" s="56">
        <v>66</v>
      </c>
    </row>
    <row r="22" spans="3:17" ht="17" thickBot="1" x14ac:dyDescent="0.25">
      <c r="C22" s="10" t="s">
        <v>26</v>
      </c>
      <c r="D22" s="11" t="s">
        <v>25</v>
      </c>
      <c r="E22" s="11" t="s">
        <v>22</v>
      </c>
      <c r="F22" s="11" t="s">
        <v>23</v>
      </c>
      <c r="G22" s="3" t="s">
        <v>24</v>
      </c>
      <c r="M22" s="98"/>
      <c r="N22" s="50">
        <v>11000000</v>
      </c>
      <c r="O22" s="51">
        <v>10101000</v>
      </c>
      <c r="P22" s="52" t="s">
        <v>115</v>
      </c>
      <c r="Q22" s="53" t="s">
        <v>133</v>
      </c>
    </row>
    <row r="23" spans="3:17" ht="17" thickBot="1" x14ac:dyDescent="0.25">
      <c r="C23" s="4">
        <v>1</v>
      </c>
      <c r="D23" t="s">
        <v>10</v>
      </c>
      <c r="E23" t="s">
        <v>27</v>
      </c>
      <c r="F23" t="s">
        <v>47</v>
      </c>
      <c r="G23" s="5" t="s">
        <v>46</v>
      </c>
      <c r="M23" s="27"/>
      <c r="N23" s="26"/>
      <c r="O23" s="27"/>
      <c r="P23" s="27"/>
      <c r="Q23" s="28"/>
    </row>
    <row r="24" spans="3:17" x14ac:dyDescent="0.2">
      <c r="C24" s="4">
        <v>2</v>
      </c>
      <c r="D24" t="s">
        <v>34</v>
      </c>
      <c r="E24" t="s">
        <v>40</v>
      </c>
      <c r="F24" t="s">
        <v>29</v>
      </c>
      <c r="G24" s="5" t="s">
        <v>28</v>
      </c>
      <c r="M24" s="98" t="s">
        <v>121</v>
      </c>
      <c r="N24" s="54">
        <v>192</v>
      </c>
      <c r="O24" s="55">
        <v>168</v>
      </c>
      <c r="P24" s="55">
        <v>100</v>
      </c>
      <c r="Q24" s="56">
        <v>120</v>
      </c>
    </row>
    <row r="25" spans="3:17" ht="17" thickBot="1" x14ac:dyDescent="0.25">
      <c r="C25" s="4">
        <v>3</v>
      </c>
      <c r="D25" t="s">
        <v>30</v>
      </c>
      <c r="E25" t="s">
        <v>31</v>
      </c>
      <c r="F25" t="s">
        <v>38</v>
      </c>
      <c r="G25" s="5" t="s">
        <v>39</v>
      </c>
      <c r="M25" s="98"/>
      <c r="N25" s="50">
        <v>11000000</v>
      </c>
      <c r="O25" s="51">
        <v>10101000</v>
      </c>
      <c r="P25" s="52" t="s">
        <v>115</v>
      </c>
      <c r="Q25" s="53" t="s">
        <v>134</v>
      </c>
    </row>
    <row r="26" spans="3:17" ht="17" thickBot="1" x14ac:dyDescent="0.25">
      <c r="C26" s="6">
        <v>4</v>
      </c>
      <c r="D26" s="7" t="s">
        <v>35</v>
      </c>
      <c r="E26" s="7" t="s">
        <v>37</v>
      </c>
      <c r="F26" s="7" t="s">
        <v>36</v>
      </c>
      <c r="G26" s="8" t="s">
        <v>11</v>
      </c>
    </row>
    <row r="28" spans="3:17" ht="17" thickBot="1" x14ac:dyDescent="0.25">
      <c r="M28" s="96" t="s">
        <v>81</v>
      </c>
      <c r="N28" s="96"/>
      <c r="O28" s="96"/>
      <c r="P28" s="96"/>
      <c r="Q28" s="97"/>
    </row>
    <row r="29" spans="3:17" x14ac:dyDescent="0.2">
      <c r="M29" s="98" t="s">
        <v>119</v>
      </c>
      <c r="N29" s="54">
        <v>255</v>
      </c>
      <c r="O29" s="55">
        <v>255</v>
      </c>
      <c r="P29" s="55">
        <v>255</v>
      </c>
      <c r="Q29" s="56">
        <v>192</v>
      </c>
    </row>
    <row r="30" spans="3:17" ht="17" thickBot="1" x14ac:dyDescent="0.25">
      <c r="M30" s="98"/>
      <c r="N30" s="50">
        <v>11111111</v>
      </c>
      <c r="O30" s="51">
        <v>11111111</v>
      </c>
      <c r="P30" s="51">
        <v>11111111</v>
      </c>
      <c r="Q30" s="57">
        <v>11000000</v>
      </c>
    </row>
    <row r="31" spans="3:17" ht="17" thickBot="1" x14ac:dyDescent="0.25">
      <c r="E31">
        <v>2</v>
      </c>
      <c r="M31" s="59"/>
      <c r="N31" s="26"/>
      <c r="O31" s="27"/>
      <c r="P31" s="27"/>
      <c r="Q31" s="28"/>
    </row>
    <row r="32" spans="3:17" x14ac:dyDescent="0.2">
      <c r="M32" s="98" t="s">
        <v>120</v>
      </c>
      <c r="N32" s="58">
        <v>192</v>
      </c>
      <c r="O32" s="55">
        <v>168</v>
      </c>
      <c r="P32" s="55">
        <v>100</v>
      </c>
      <c r="Q32" s="56">
        <v>135</v>
      </c>
    </row>
    <row r="33" spans="5:17" ht="17" thickBot="1" x14ac:dyDescent="0.25">
      <c r="E33" t="s">
        <v>86</v>
      </c>
      <c r="F33">
        <v>5</v>
      </c>
      <c r="M33" s="98"/>
      <c r="N33" s="50">
        <v>11000000</v>
      </c>
      <c r="O33" s="51">
        <v>10101000</v>
      </c>
      <c r="P33" s="52" t="s">
        <v>115</v>
      </c>
      <c r="Q33" s="53" t="s">
        <v>135</v>
      </c>
    </row>
    <row r="34" spans="5:17" ht="17" thickBot="1" x14ac:dyDescent="0.25">
      <c r="E34" t="s">
        <v>87</v>
      </c>
      <c r="F34">
        <f>2^F33</f>
        <v>32</v>
      </c>
      <c r="M34" s="27"/>
      <c r="N34" s="26"/>
      <c r="O34" s="27"/>
      <c r="P34" s="27"/>
      <c r="Q34" s="28"/>
    </row>
    <row r="35" spans="5:17" x14ac:dyDescent="0.2">
      <c r="M35" s="98" t="s">
        <v>121</v>
      </c>
      <c r="N35" s="54">
        <v>192</v>
      </c>
      <c r="O35" s="55">
        <v>168</v>
      </c>
      <c r="P35" s="55">
        <v>100</v>
      </c>
      <c r="Q35" s="56">
        <v>150</v>
      </c>
    </row>
    <row r="36" spans="5:17" ht="17" thickBot="1" x14ac:dyDescent="0.25">
      <c r="M36" s="98"/>
      <c r="N36" s="50">
        <v>11000000</v>
      </c>
      <c r="O36" s="51">
        <v>10101000</v>
      </c>
      <c r="P36" s="52" t="s">
        <v>115</v>
      </c>
      <c r="Q36" s="53" t="s">
        <v>136</v>
      </c>
    </row>
    <row r="40" spans="5:17" ht="17" thickBot="1" x14ac:dyDescent="0.25">
      <c r="M40" s="96" t="s">
        <v>82</v>
      </c>
      <c r="N40" s="96"/>
      <c r="O40" s="96"/>
      <c r="P40" s="96"/>
      <c r="Q40" s="97"/>
    </row>
    <row r="41" spans="5:17" x14ac:dyDescent="0.2">
      <c r="M41" s="98" t="s">
        <v>119</v>
      </c>
      <c r="N41" s="54">
        <v>255</v>
      </c>
      <c r="O41" s="55">
        <v>255</v>
      </c>
      <c r="P41" s="55">
        <v>255</v>
      </c>
      <c r="Q41" s="56">
        <v>192</v>
      </c>
    </row>
    <row r="42" spans="5:17" ht="17" thickBot="1" x14ac:dyDescent="0.25">
      <c r="M42" s="98"/>
      <c r="N42" s="50">
        <v>11111111</v>
      </c>
      <c r="O42" s="51">
        <v>11111111</v>
      </c>
      <c r="P42" s="51">
        <v>11111111</v>
      </c>
      <c r="Q42" s="57">
        <v>11000000</v>
      </c>
    </row>
    <row r="43" spans="5:17" ht="17" thickBot="1" x14ac:dyDescent="0.25">
      <c r="M43" s="59"/>
      <c r="N43" s="26"/>
      <c r="O43" s="27"/>
      <c r="P43" s="27"/>
      <c r="Q43" s="28"/>
    </row>
    <row r="44" spans="5:17" x14ac:dyDescent="0.2">
      <c r="M44" s="98" t="s">
        <v>120</v>
      </c>
      <c r="N44" s="58">
        <v>192</v>
      </c>
      <c r="O44" s="55">
        <v>168</v>
      </c>
      <c r="P44" s="55">
        <v>100</v>
      </c>
      <c r="Q44" s="56">
        <v>195</v>
      </c>
    </row>
    <row r="45" spans="5:17" ht="17" thickBot="1" x14ac:dyDescent="0.25">
      <c r="M45" s="98"/>
      <c r="N45" s="50">
        <v>11000000</v>
      </c>
      <c r="O45" s="51">
        <v>10101000</v>
      </c>
      <c r="P45" s="52" t="s">
        <v>115</v>
      </c>
      <c r="Q45" s="53" t="s">
        <v>137</v>
      </c>
    </row>
    <row r="46" spans="5:17" ht="17" thickBot="1" x14ac:dyDescent="0.25">
      <c r="M46" s="27"/>
      <c r="N46" s="26"/>
      <c r="O46" s="27"/>
      <c r="P46" s="27"/>
      <c r="Q46" s="28"/>
    </row>
    <row r="47" spans="5:17" x14ac:dyDescent="0.2">
      <c r="M47" s="98" t="s">
        <v>121</v>
      </c>
      <c r="N47" s="54">
        <v>192</v>
      </c>
      <c r="O47" s="55">
        <v>168</v>
      </c>
      <c r="P47" s="55">
        <v>100</v>
      </c>
      <c r="Q47" s="56">
        <v>250</v>
      </c>
    </row>
    <row r="48" spans="5:17" ht="17" thickBot="1" x14ac:dyDescent="0.25">
      <c r="M48" s="98"/>
      <c r="N48" s="50">
        <v>11000000</v>
      </c>
      <c r="O48" s="51">
        <v>10101000</v>
      </c>
      <c r="P48" s="52" t="s">
        <v>115</v>
      </c>
      <c r="Q48" s="53" t="s">
        <v>138</v>
      </c>
    </row>
  </sheetData>
  <mergeCells count="16">
    <mergeCell ref="M18:M19"/>
    <mergeCell ref="M21:M22"/>
    <mergeCell ref="M24:M25"/>
    <mergeCell ref="M28:Q28"/>
    <mergeCell ref="M29:M30"/>
    <mergeCell ref="M6:Q6"/>
    <mergeCell ref="M7:M8"/>
    <mergeCell ref="M10:M11"/>
    <mergeCell ref="M13:M14"/>
    <mergeCell ref="M17:Q17"/>
    <mergeCell ref="M47:M48"/>
    <mergeCell ref="M32:M33"/>
    <mergeCell ref="M35:M36"/>
    <mergeCell ref="M40:Q40"/>
    <mergeCell ref="M41:M42"/>
    <mergeCell ref="M44:M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24E5-6E50-5E46-AE48-ADA1A0685CD9}">
  <dimension ref="A1:N44"/>
  <sheetViews>
    <sheetView tabSelected="1" topLeftCell="A20" zoomScale="118" workbookViewId="0">
      <selection activeCell="K12" sqref="K12:L15"/>
    </sheetView>
  </sheetViews>
  <sheetFormatPr baseColWidth="10" defaultRowHeight="16" x14ac:dyDescent="0.2"/>
  <cols>
    <col min="2" max="2" width="39.5" bestFit="1" customWidth="1"/>
    <col min="3" max="3" width="20.5" customWidth="1"/>
    <col min="4" max="4" width="14.5" bestFit="1" customWidth="1"/>
    <col min="5" max="5" width="18.83203125" customWidth="1"/>
    <col min="6" max="6" width="17.1640625" customWidth="1"/>
    <col min="7" max="7" width="31.83203125" customWidth="1"/>
    <col min="8" max="8" width="13.6640625" bestFit="1" customWidth="1"/>
    <col min="12" max="12" width="18.6640625" customWidth="1"/>
  </cols>
  <sheetData>
    <row r="1" spans="1:14" ht="19" x14ac:dyDescent="0.2">
      <c r="C1">
        <v>8</v>
      </c>
      <c r="D1" t="s">
        <v>101</v>
      </c>
      <c r="G1" s="17" t="s">
        <v>2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7</v>
      </c>
      <c r="M1" s="18" t="s">
        <v>8</v>
      </c>
      <c r="N1" s="19" t="s">
        <v>9</v>
      </c>
    </row>
    <row r="2" spans="1:14" x14ac:dyDescent="0.2">
      <c r="B2" s="14" t="s">
        <v>102</v>
      </c>
      <c r="C2" t="s">
        <v>144</v>
      </c>
      <c r="D2" t="s">
        <v>140</v>
      </c>
      <c r="G2" s="4">
        <f>2^7</f>
        <v>128</v>
      </c>
      <c r="H2">
        <f>2^6</f>
        <v>64</v>
      </c>
      <c r="I2">
        <f>2^5</f>
        <v>32</v>
      </c>
      <c r="J2">
        <f>2^4</f>
        <v>16</v>
      </c>
      <c r="K2">
        <f>2^3</f>
        <v>8</v>
      </c>
      <c r="L2">
        <f>2^2</f>
        <v>4</v>
      </c>
      <c r="M2">
        <f>2^1</f>
        <v>2</v>
      </c>
      <c r="N2" s="5">
        <f>2^0</f>
        <v>1</v>
      </c>
    </row>
    <row r="3" spans="1:14" ht="17" thickBot="1" x14ac:dyDescent="0.25">
      <c r="C3" t="s">
        <v>145</v>
      </c>
      <c r="D3" t="s">
        <v>141</v>
      </c>
      <c r="G3" s="6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8">
        <v>1</v>
      </c>
    </row>
    <row r="4" spans="1:14" ht="17" thickBot="1" x14ac:dyDescent="0.25">
      <c r="C4" t="s">
        <v>146</v>
      </c>
      <c r="D4" t="s">
        <v>142</v>
      </c>
    </row>
    <row r="5" spans="1:14" x14ac:dyDescent="0.2">
      <c r="C5" t="s">
        <v>147</v>
      </c>
      <c r="D5" t="s">
        <v>143</v>
      </c>
      <c r="E5">
        <f>64+31</f>
        <v>95</v>
      </c>
      <c r="F5" s="10" t="s">
        <v>13</v>
      </c>
      <c r="G5" s="11">
        <v>1</v>
      </c>
      <c r="H5" s="11">
        <v>2</v>
      </c>
      <c r="I5" s="11">
        <v>3</v>
      </c>
      <c r="J5" s="11">
        <v>4</v>
      </c>
      <c r="K5" s="11">
        <v>5</v>
      </c>
      <c r="L5" s="11">
        <v>6</v>
      </c>
      <c r="M5" s="11">
        <v>7</v>
      </c>
      <c r="N5" s="3">
        <v>8</v>
      </c>
    </row>
    <row r="6" spans="1:14" x14ac:dyDescent="0.2">
      <c r="F6" s="4" t="s">
        <v>99</v>
      </c>
      <c r="G6" s="99">
        <f>2^(8-G5)</f>
        <v>128</v>
      </c>
      <c r="H6" s="99">
        <f>2^(8-H5)</f>
        <v>64</v>
      </c>
      <c r="I6" s="99">
        <f t="shared" ref="I6" si="0">2^(8-I5)</f>
        <v>32</v>
      </c>
      <c r="J6" s="99">
        <f>2^(8-J5)</f>
        <v>16</v>
      </c>
      <c r="K6" s="99">
        <f>2^(8-K5)</f>
        <v>8</v>
      </c>
      <c r="L6" s="99">
        <f>2^(8-L5)</f>
        <v>4</v>
      </c>
      <c r="M6" s="99">
        <f>2^(8-M5)</f>
        <v>2</v>
      </c>
      <c r="N6" s="5">
        <f>2^(8-N5)</f>
        <v>1</v>
      </c>
    </row>
    <row r="7" spans="1:14" x14ac:dyDescent="0.2">
      <c r="F7" s="4" t="s">
        <v>139</v>
      </c>
      <c r="G7" s="99">
        <f>2^G5</f>
        <v>2</v>
      </c>
      <c r="H7" s="99">
        <f t="shared" ref="H7:N7" si="1">2^H5</f>
        <v>4</v>
      </c>
      <c r="I7" s="99">
        <f t="shared" si="1"/>
        <v>8</v>
      </c>
      <c r="J7" s="99">
        <f t="shared" si="1"/>
        <v>16</v>
      </c>
      <c r="K7" s="99">
        <f t="shared" si="1"/>
        <v>32</v>
      </c>
      <c r="L7" s="99">
        <f t="shared" si="1"/>
        <v>64</v>
      </c>
      <c r="M7" s="99">
        <f t="shared" si="1"/>
        <v>128</v>
      </c>
      <c r="N7" s="5">
        <f t="shared" si="1"/>
        <v>256</v>
      </c>
    </row>
    <row r="8" spans="1:14" ht="17" thickBot="1" x14ac:dyDescent="0.25">
      <c r="F8" s="6" t="s">
        <v>58</v>
      </c>
      <c r="G8" s="7" t="str">
        <f>"/"&amp;G5+24</f>
        <v>/25</v>
      </c>
      <c r="H8" s="7" t="str">
        <f>"/"&amp;H5+24</f>
        <v>/26</v>
      </c>
      <c r="I8" s="7" t="str">
        <f t="shared" ref="I8" si="2">"/"&amp;I5+24</f>
        <v>/27</v>
      </c>
      <c r="J8" s="7" t="str">
        <f>"/"&amp;J5+24</f>
        <v>/28</v>
      </c>
      <c r="K8" s="7" t="str">
        <f>"/"&amp;K5+24</f>
        <v>/29</v>
      </c>
      <c r="L8" s="7" t="str">
        <f>"/"&amp;L5+24</f>
        <v>/30</v>
      </c>
      <c r="M8" s="7" t="str">
        <f>"/"&amp;M5+24</f>
        <v>/31</v>
      </c>
      <c r="N8" s="8" t="str">
        <f>"/"&amp;N5+24</f>
        <v>/32</v>
      </c>
    </row>
    <row r="9" spans="1:14" ht="17" thickBot="1" x14ac:dyDescent="0.25">
      <c r="A9">
        <v>1</v>
      </c>
      <c r="B9" s="36" t="s">
        <v>90</v>
      </c>
    </row>
    <row r="10" spans="1:14" x14ac:dyDescent="0.2">
      <c r="C10" s="37" t="s">
        <v>44</v>
      </c>
      <c r="D10" s="38" t="s">
        <v>48</v>
      </c>
    </row>
    <row r="11" spans="1:14" x14ac:dyDescent="0.2">
      <c r="C11" s="39" t="s">
        <v>79</v>
      </c>
      <c r="D11" s="40">
        <v>60</v>
      </c>
    </row>
    <row r="12" spans="1:14" x14ac:dyDescent="0.2">
      <c r="C12" s="39" t="s">
        <v>80</v>
      </c>
      <c r="D12" s="40">
        <v>30</v>
      </c>
      <c r="K12" t="s">
        <v>13</v>
      </c>
      <c r="M12">
        <v>3</v>
      </c>
    </row>
    <row r="13" spans="1:14" x14ac:dyDescent="0.2">
      <c r="C13" s="39" t="s">
        <v>81</v>
      </c>
      <c r="D13" s="40">
        <v>12</v>
      </c>
      <c r="K13" t="s">
        <v>150</v>
      </c>
      <c r="L13" t="s">
        <v>151</v>
      </c>
      <c r="M13">
        <f>2^(8-M12)</f>
        <v>32</v>
      </c>
    </row>
    <row r="14" spans="1:14" ht="17" thickBot="1" x14ac:dyDescent="0.25">
      <c r="C14" s="41" t="s">
        <v>82</v>
      </c>
      <c r="D14" s="42">
        <v>5</v>
      </c>
      <c r="K14" t="s">
        <v>152</v>
      </c>
      <c r="L14" t="s">
        <v>153</v>
      </c>
      <c r="M14">
        <f>2^M12</f>
        <v>8</v>
      </c>
    </row>
    <row r="16" spans="1:14" ht="17" thickBot="1" x14ac:dyDescent="0.25">
      <c r="A16">
        <v>2</v>
      </c>
      <c r="B16" s="36" t="s">
        <v>91</v>
      </c>
    </row>
    <row r="17" spans="1:6" x14ac:dyDescent="0.2">
      <c r="C17" s="37" t="s">
        <v>44</v>
      </c>
      <c r="D17" s="43" t="s">
        <v>48</v>
      </c>
      <c r="E17" s="38" t="s">
        <v>58</v>
      </c>
    </row>
    <row r="18" spans="1:6" x14ac:dyDescent="0.2">
      <c r="C18" s="39" t="s">
        <v>79</v>
      </c>
      <c r="D18" s="36">
        <v>60</v>
      </c>
      <c r="E18" s="5" t="s">
        <v>33</v>
      </c>
    </row>
    <row r="19" spans="1:6" x14ac:dyDescent="0.2">
      <c r="C19" s="39" t="s">
        <v>80</v>
      </c>
      <c r="D19" s="36">
        <v>30</v>
      </c>
      <c r="E19" s="5" t="s">
        <v>55</v>
      </c>
    </row>
    <row r="20" spans="1:6" x14ac:dyDescent="0.2">
      <c r="C20" s="39" t="s">
        <v>81</v>
      </c>
      <c r="D20" s="36">
        <v>12</v>
      </c>
      <c r="E20" s="5" t="s">
        <v>56</v>
      </c>
    </row>
    <row r="21" spans="1:6" ht="17" thickBot="1" x14ac:dyDescent="0.25">
      <c r="C21" s="41" t="s">
        <v>82</v>
      </c>
      <c r="D21" s="44">
        <v>5</v>
      </c>
      <c r="E21" s="8" t="s">
        <v>100</v>
      </c>
    </row>
    <row r="23" spans="1:6" ht="17" thickBot="1" x14ac:dyDescent="0.25">
      <c r="A23">
        <v>3</v>
      </c>
      <c r="B23" s="36" t="s">
        <v>92</v>
      </c>
    </row>
    <row r="24" spans="1:6" x14ac:dyDescent="0.2">
      <c r="C24" s="37" t="s">
        <v>44</v>
      </c>
      <c r="D24" s="43" t="s">
        <v>48</v>
      </c>
      <c r="E24" s="43" t="s">
        <v>58</v>
      </c>
      <c r="F24" s="38" t="s">
        <v>0</v>
      </c>
    </row>
    <row r="25" spans="1:6" x14ac:dyDescent="0.2">
      <c r="C25" s="39" t="s">
        <v>79</v>
      </c>
      <c r="D25" s="36">
        <v>60</v>
      </c>
      <c r="E25" t="s">
        <v>33</v>
      </c>
      <c r="F25" s="5" t="s">
        <v>45</v>
      </c>
    </row>
    <row r="26" spans="1:6" x14ac:dyDescent="0.2">
      <c r="C26" s="39" t="s">
        <v>80</v>
      </c>
      <c r="D26" s="36">
        <v>30</v>
      </c>
      <c r="E26" t="s">
        <v>55</v>
      </c>
      <c r="F26" s="5" t="s">
        <v>63</v>
      </c>
    </row>
    <row r="27" spans="1:6" x14ac:dyDescent="0.2">
      <c r="C27" s="39" t="s">
        <v>81</v>
      </c>
      <c r="D27" s="36">
        <v>12</v>
      </c>
      <c r="E27" t="s">
        <v>56</v>
      </c>
      <c r="F27" s="5" t="s">
        <v>70</v>
      </c>
    </row>
    <row r="28" spans="1:6" ht="17" thickBot="1" x14ac:dyDescent="0.25">
      <c r="C28" s="41" t="s">
        <v>82</v>
      </c>
      <c r="D28" s="44">
        <v>5</v>
      </c>
      <c r="E28" s="7" t="s">
        <v>100</v>
      </c>
      <c r="F28" s="8" t="s">
        <v>101</v>
      </c>
    </row>
    <row r="32" spans="1:6" x14ac:dyDescent="0.2">
      <c r="A32">
        <v>4</v>
      </c>
      <c r="B32" s="36" t="s">
        <v>93</v>
      </c>
    </row>
    <row r="33" spans="1:8" ht="17" thickBot="1" x14ac:dyDescent="0.25">
      <c r="A33">
        <v>5</v>
      </c>
      <c r="B33" s="36" t="s">
        <v>94</v>
      </c>
    </row>
    <row r="34" spans="1:8" x14ac:dyDescent="0.2">
      <c r="B34" s="36" t="s">
        <v>95</v>
      </c>
      <c r="C34" s="37" t="s">
        <v>44</v>
      </c>
      <c r="D34" s="43" t="s">
        <v>58</v>
      </c>
      <c r="E34" s="43" t="s">
        <v>0</v>
      </c>
      <c r="F34" s="45" t="s">
        <v>44</v>
      </c>
      <c r="G34" s="45" t="s">
        <v>59</v>
      </c>
      <c r="H34" s="46" t="s">
        <v>24</v>
      </c>
    </row>
    <row r="35" spans="1:8" x14ac:dyDescent="0.2">
      <c r="B35" s="36" t="s">
        <v>96</v>
      </c>
      <c r="C35" s="39" t="s">
        <v>79</v>
      </c>
      <c r="D35" t="s">
        <v>33</v>
      </c>
      <c r="E35" t="s">
        <v>45</v>
      </c>
      <c r="F35" s="16" t="s">
        <v>103</v>
      </c>
      <c r="G35" s="16" t="s">
        <v>104</v>
      </c>
      <c r="H35" s="47" t="s">
        <v>62</v>
      </c>
    </row>
    <row r="36" spans="1:8" x14ac:dyDescent="0.2">
      <c r="B36" s="36" t="s">
        <v>97</v>
      </c>
      <c r="C36" s="39" t="s">
        <v>80</v>
      </c>
      <c r="D36" t="s">
        <v>55</v>
      </c>
      <c r="E36" t="s">
        <v>63</v>
      </c>
      <c r="F36" s="16" t="s">
        <v>105</v>
      </c>
      <c r="G36" s="16" t="s">
        <v>106</v>
      </c>
      <c r="H36" s="47" t="s">
        <v>66</v>
      </c>
    </row>
    <row r="37" spans="1:8" x14ac:dyDescent="0.2">
      <c r="C37" s="39" t="s">
        <v>81</v>
      </c>
      <c r="D37" t="s">
        <v>56</v>
      </c>
      <c r="E37" t="s">
        <v>70</v>
      </c>
      <c r="F37" s="16" t="s">
        <v>107</v>
      </c>
      <c r="G37" s="16" t="s">
        <v>108</v>
      </c>
      <c r="H37" s="47" t="s">
        <v>109</v>
      </c>
    </row>
    <row r="38" spans="1:8" ht="17" thickBot="1" x14ac:dyDescent="0.25">
      <c r="C38" s="41" t="s">
        <v>82</v>
      </c>
      <c r="D38" s="7" t="s">
        <v>100</v>
      </c>
      <c r="E38" s="7" t="s">
        <v>101</v>
      </c>
      <c r="F38" s="48" t="s">
        <v>110</v>
      </c>
      <c r="G38" s="48" t="s">
        <v>112</v>
      </c>
      <c r="H38" s="49" t="s">
        <v>111</v>
      </c>
    </row>
    <row r="41" spans="1:8" x14ac:dyDescent="0.2">
      <c r="A41">
        <v>6</v>
      </c>
      <c r="B41" s="36" t="s">
        <v>98</v>
      </c>
      <c r="E41">
        <f>255-118</f>
        <v>137</v>
      </c>
    </row>
    <row r="42" spans="1:8" x14ac:dyDescent="0.2">
      <c r="D42" t="s">
        <v>114</v>
      </c>
      <c r="E42" t="s">
        <v>113</v>
      </c>
      <c r="H42">
        <v>256</v>
      </c>
    </row>
    <row r="43" spans="1:8" x14ac:dyDescent="0.2">
      <c r="G43" t="s">
        <v>148</v>
      </c>
      <c r="H43">
        <v>118</v>
      </c>
    </row>
    <row r="44" spans="1:8" x14ac:dyDescent="0.2">
      <c r="G44" t="s">
        <v>149</v>
      </c>
      <c r="H44">
        <f>H42-H43</f>
        <v>138</v>
      </c>
    </row>
  </sheetData>
  <phoneticPr fontId="9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0CA8-82BE-914D-A04F-55F42E8B34CB}">
  <dimension ref="A1:AF44"/>
  <sheetViews>
    <sheetView zoomScale="125" workbookViewId="0">
      <selection activeCell="X1" sqref="X1:AD47"/>
    </sheetView>
  </sheetViews>
  <sheetFormatPr baseColWidth="10" defaultRowHeight="16" x14ac:dyDescent="0.2"/>
  <cols>
    <col min="4" max="4" width="14.6640625" bestFit="1" customWidth="1"/>
    <col min="32" max="32" width="15.83203125" customWidth="1"/>
  </cols>
  <sheetData>
    <row r="1" spans="1:32" ht="19" x14ac:dyDescent="0.2">
      <c r="M1" s="17" t="s">
        <v>2</v>
      </c>
      <c r="N1" s="18" t="s">
        <v>3</v>
      </c>
      <c r="O1" s="18" t="s">
        <v>4</v>
      </c>
      <c r="P1" s="18" t="s">
        <v>5</v>
      </c>
      <c r="Q1" s="18" t="s">
        <v>6</v>
      </c>
      <c r="R1" s="18" t="s">
        <v>7</v>
      </c>
      <c r="S1" s="18" t="s">
        <v>8</v>
      </c>
      <c r="T1" s="19" t="s">
        <v>9</v>
      </c>
    </row>
    <row r="2" spans="1:32" ht="17" thickBot="1" x14ac:dyDescent="0.25">
      <c r="M2" s="4">
        <f>2^7</f>
        <v>128</v>
      </c>
      <c r="N2">
        <f>2^6</f>
        <v>64</v>
      </c>
      <c r="O2">
        <f>2^5</f>
        <v>32</v>
      </c>
      <c r="P2">
        <f>2^4</f>
        <v>16</v>
      </c>
      <c r="Q2">
        <f>2^3</f>
        <v>8</v>
      </c>
      <c r="R2">
        <f>2^2</f>
        <v>4</v>
      </c>
      <c r="S2">
        <f>2^1</f>
        <v>2</v>
      </c>
      <c r="T2" s="5">
        <f>2^0</f>
        <v>1</v>
      </c>
      <c r="AF2" t="s">
        <v>10</v>
      </c>
    </row>
    <row r="3" spans="1:32" ht="17" thickBot="1" x14ac:dyDescent="0.25">
      <c r="A3" s="84" t="s">
        <v>79</v>
      </c>
      <c r="B3" s="85">
        <v>60</v>
      </c>
      <c r="C3" s="11" t="s">
        <v>33</v>
      </c>
      <c r="D3" s="3" t="s">
        <v>45</v>
      </c>
      <c r="F3" s="96" t="s">
        <v>79</v>
      </c>
      <c r="G3" s="96"/>
      <c r="H3" s="96"/>
      <c r="I3" s="96"/>
      <c r="J3" s="97"/>
      <c r="M3" s="6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8">
        <v>1</v>
      </c>
      <c r="AF3" t="s">
        <v>34</v>
      </c>
    </row>
    <row r="4" spans="1:32" x14ac:dyDescent="0.2">
      <c r="A4" s="39" t="s">
        <v>80</v>
      </c>
      <c r="B4" s="36">
        <v>30</v>
      </c>
      <c r="C4" t="s">
        <v>55</v>
      </c>
      <c r="D4" s="5" t="s">
        <v>63</v>
      </c>
      <c r="F4" s="98" t="s">
        <v>119</v>
      </c>
      <c r="G4" s="54">
        <v>255</v>
      </c>
      <c r="H4" s="55">
        <v>255</v>
      </c>
      <c r="I4" s="55">
        <v>255</v>
      </c>
      <c r="J4" s="56">
        <v>192</v>
      </c>
      <c r="O4" s="35" t="s">
        <v>118</v>
      </c>
      <c r="AF4" t="s">
        <v>30</v>
      </c>
    </row>
    <row r="5" spans="1:32" ht="17" thickBot="1" x14ac:dyDescent="0.25">
      <c r="A5" s="39" t="s">
        <v>81</v>
      </c>
      <c r="B5" s="36">
        <v>12</v>
      </c>
      <c r="C5" t="s">
        <v>56</v>
      </c>
      <c r="D5" s="5" t="s">
        <v>70</v>
      </c>
      <c r="F5" s="98"/>
      <c r="G5" s="50">
        <v>11111111</v>
      </c>
      <c r="H5" s="51">
        <v>11111111</v>
      </c>
      <c r="I5" s="51">
        <v>11111111</v>
      </c>
      <c r="J5" s="57">
        <v>11000000</v>
      </c>
      <c r="AF5" s="7" t="s">
        <v>35</v>
      </c>
    </row>
    <row r="6" spans="1:32" ht="17" thickBot="1" x14ac:dyDescent="0.25">
      <c r="A6" s="41" t="s">
        <v>82</v>
      </c>
      <c r="B6" s="44">
        <v>5</v>
      </c>
      <c r="C6" s="7" t="s">
        <v>100</v>
      </c>
      <c r="D6" s="8" t="s">
        <v>101</v>
      </c>
      <c r="F6" s="59"/>
      <c r="G6" s="26"/>
      <c r="H6" s="27"/>
      <c r="I6" s="27"/>
      <c r="J6" s="28"/>
      <c r="O6" s="35" t="s">
        <v>124</v>
      </c>
    </row>
    <row r="7" spans="1:32" x14ac:dyDescent="0.2">
      <c r="F7" s="98" t="s">
        <v>120</v>
      </c>
      <c r="G7" s="58">
        <v>192</v>
      </c>
      <c r="H7" s="55">
        <v>168</v>
      </c>
      <c r="I7" s="55">
        <v>100</v>
      </c>
      <c r="J7" s="56">
        <v>1</v>
      </c>
    </row>
    <row r="8" spans="1:32" ht="17" thickBot="1" x14ac:dyDescent="0.25">
      <c r="F8" s="98"/>
      <c r="G8" s="50">
        <v>11000000</v>
      </c>
      <c r="H8" s="51">
        <v>10101000</v>
      </c>
      <c r="I8" s="52" t="s">
        <v>115</v>
      </c>
      <c r="J8" s="53" t="s">
        <v>116</v>
      </c>
    </row>
    <row r="9" spans="1:32" ht="17" thickBot="1" x14ac:dyDescent="0.25">
      <c r="F9" s="27"/>
      <c r="G9" s="26"/>
      <c r="H9" s="27"/>
      <c r="I9" s="27"/>
      <c r="J9" s="28"/>
    </row>
    <row r="10" spans="1:32" x14ac:dyDescent="0.2">
      <c r="F10" s="98" t="s">
        <v>121</v>
      </c>
      <c r="G10" s="54">
        <v>192</v>
      </c>
      <c r="H10" s="55">
        <v>168</v>
      </c>
      <c r="I10" s="55">
        <v>100</v>
      </c>
      <c r="J10" s="56">
        <v>62</v>
      </c>
    </row>
    <row r="11" spans="1:32" ht="17" thickBot="1" x14ac:dyDescent="0.25">
      <c r="F11" s="98"/>
      <c r="G11" s="50">
        <v>11000000</v>
      </c>
      <c r="H11" s="51">
        <v>10101000</v>
      </c>
      <c r="I11" s="52" t="s">
        <v>115</v>
      </c>
      <c r="J11" s="53" t="s">
        <v>117</v>
      </c>
    </row>
    <row r="14" spans="1:32" ht="17" thickBot="1" x14ac:dyDescent="0.25">
      <c r="F14" s="92" t="s">
        <v>80</v>
      </c>
      <c r="G14" s="93"/>
      <c r="H14" s="93"/>
      <c r="I14" s="93"/>
      <c r="J14" s="94"/>
    </row>
    <row r="15" spans="1:32" x14ac:dyDescent="0.2">
      <c r="F15" s="95" t="s">
        <v>119</v>
      </c>
      <c r="G15" s="60">
        <v>255</v>
      </c>
      <c r="H15" s="61">
        <v>255</v>
      </c>
      <c r="I15" s="61">
        <v>255</v>
      </c>
      <c r="J15" s="62">
        <v>224</v>
      </c>
    </row>
    <row r="16" spans="1:32" ht="17" thickBot="1" x14ac:dyDescent="0.25">
      <c r="F16" s="95"/>
      <c r="G16" s="63">
        <v>11111111</v>
      </c>
      <c r="H16" s="64">
        <v>11111111</v>
      </c>
      <c r="I16" s="64">
        <v>11111111</v>
      </c>
      <c r="J16" s="65">
        <v>11100000</v>
      </c>
    </row>
    <row r="17" spans="6:10" ht="17" thickBot="1" x14ac:dyDescent="0.25">
      <c r="F17" s="66"/>
      <c r="G17" s="29"/>
      <c r="H17" s="30"/>
      <c r="I17" s="30"/>
      <c r="J17" s="31"/>
    </row>
    <row r="18" spans="6:10" x14ac:dyDescent="0.2">
      <c r="F18" s="95" t="s">
        <v>122</v>
      </c>
      <c r="G18" s="60">
        <v>192</v>
      </c>
      <c r="H18" s="61">
        <v>168</v>
      </c>
      <c r="I18" s="61">
        <v>100</v>
      </c>
      <c r="J18" s="62">
        <v>65</v>
      </c>
    </row>
    <row r="19" spans="6:10" ht="17" thickBot="1" x14ac:dyDescent="0.25">
      <c r="F19" s="95"/>
      <c r="G19" s="63">
        <v>11000000</v>
      </c>
      <c r="H19" s="64">
        <v>10101000</v>
      </c>
      <c r="I19" s="67" t="s">
        <v>115</v>
      </c>
      <c r="J19" s="68" t="s">
        <v>118</v>
      </c>
    </row>
    <row r="20" spans="6:10" ht="17" thickBot="1" x14ac:dyDescent="0.25">
      <c r="F20" s="30"/>
      <c r="G20" s="29"/>
      <c r="H20" s="30"/>
      <c r="I20" s="30"/>
      <c r="J20" s="31"/>
    </row>
    <row r="21" spans="6:10" x14ac:dyDescent="0.2">
      <c r="F21" s="95" t="s">
        <v>123</v>
      </c>
      <c r="G21" s="60">
        <v>192</v>
      </c>
      <c r="H21" s="61">
        <v>168</v>
      </c>
      <c r="I21" s="61">
        <v>100</v>
      </c>
      <c r="J21" s="62">
        <v>94</v>
      </c>
    </row>
    <row r="22" spans="6:10" ht="17" thickBot="1" x14ac:dyDescent="0.25">
      <c r="F22" s="95"/>
      <c r="G22" s="63">
        <v>11000000</v>
      </c>
      <c r="H22" s="64">
        <v>10101000</v>
      </c>
      <c r="I22" s="67" t="s">
        <v>115</v>
      </c>
      <c r="J22" s="68" t="s">
        <v>124</v>
      </c>
    </row>
    <row r="25" spans="6:10" ht="17" thickBot="1" x14ac:dyDescent="0.25">
      <c r="F25" s="87" t="s">
        <v>81</v>
      </c>
      <c r="G25" s="87"/>
      <c r="H25" s="87"/>
      <c r="I25" s="87"/>
      <c r="J25" s="88"/>
    </row>
    <row r="26" spans="6:10" x14ac:dyDescent="0.2">
      <c r="F26" s="89" t="s">
        <v>119</v>
      </c>
      <c r="G26" s="69">
        <v>255</v>
      </c>
      <c r="H26" s="70">
        <v>255</v>
      </c>
      <c r="I26" s="70">
        <v>255</v>
      </c>
      <c r="J26" s="71">
        <v>240</v>
      </c>
    </row>
    <row r="27" spans="6:10" ht="17" thickBot="1" x14ac:dyDescent="0.25">
      <c r="F27" s="89"/>
      <c r="G27" s="32">
        <v>11111111</v>
      </c>
      <c r="H27" s="33">
        <v>11111111</v>
      </c>
      <c r="I27" s="33">
        <v>11111111</v>
      </c>
      <c r="J27" s="34">
        <v>11110000</v>
      </c>
    </row>
    <row r="28" spans="6:10" ht="17" thickBot="1" x14ac:dyDescent="0.25">
      <c r="F28" s="72"/>
      <c r="G28" s="73"/>
      <c r="H28" s="74"/>
      <c r="I28" s="74"/>
      <c r="J28" s="75"/>
    </row>
    <row r="29" spans="6:10" x14ac:dyDescent="0.2">
      <c r="F29" s="89" t="s">
        <v>125</v>
      </c>
      <c r="G29" s="69">
        <v>192</v>
      </c>
      <c r="H29" s="70">
        <v>168</v>
      </c>
      <c r="I29" s="70">
        <v>100</v>
      </c>
      <c r="J29" s="71">
        <v>97</v>
      </c>
    </row>
    <row r="30" spans="6:10" ht="17" thickBot="1" x14ac:dyDescent="0.25">
      <c r="F30" s="89"/>
      <c r="G30" s="32">
        <v>11000000</v>
      </c>
      <c r="H30" s="33">
        <v>10101000</v>
      </c>
      <c r="I30" s="76" t="s">
        <v>115</v>
      </c>
      <c r="J30" s="77" t="s">
        <v>127</v>
      </c>
    </row>
    <row r="31" spans="6:10" ht="17" thickBot="1" x14ac:dyDescent="0.25">
      <c r="F31" s="74"/>
      <c r="G31" s="73"/>
      <c r="H31" s="74"/>
      <c r="I31" s="74"/>
      <c r="J31" s="75"/>
    </row>
    <row r="32" spans="6:10" x14ac:dyDescent="0.2">
      <c r="F32" s="89" t="s">
        <v>126</v>
      </c>
      <c r="G32" s="69">
        <v>192</v>
      </c>
      <c r="H32" s="70">
        <v>168</v>
      </c>
      <c r="I32" s="70">
        <v>100</v>
      </c>
      <c r="J32" s="71">
        <v>109</v>
      </c>
    </row>
    <row r="33" spans="6:10" ht="17" thickBot="1" x14ac:dyDescent="0.25">
      <c r="F33" s="89"/>
      <c r="G33" s="32">
        <v>11000000</v>
      </c>
      <c r="H33" s="33">
        <v>10101000</v>
      </c>
      <c r="I33" s="76" t="s">
        <v>115</v>
      </c>
      <c r="J33" s="77" t="s">
        <v>128</v>
      </c>
    </row>
    <row r="36" spans="6:10" ht="17" thickBot="1" x14ac:dyDescent="0.25">
      <c r="F36" s="90" t="s">
        <v>82</v>
      </c>
      <c r="G36" s="90"/>
      <c r="H36" s="90"/>
      <c r="I36" s="90"/>
      <c r="J36" s="91"/>
    </row>
    <row r="37" spans="6:10" x14ac:dyDescent="0.2">
      <c r="F37" s="86" t="s">
        <v>119</v>
      </c>
      <c r="G37" s="20">
        <v>255</v>
      </c>
      <c r="H37" s="21">
        <v>255</v>
      </c>
      <c r="I37" s="21">
        <v>255</v>
      </c>
      <c r="J37" s="22">
        <v>128</v>
      </c>
    </row>
    <row r="38" spans="6:10" ht="17" thickBot="1" x14ac:dyDescent="0.25">
      <c r="F38" s="86"/>
      <c r="G38" s="78">
        <v>11111111</v>
      </c>
      <c r="H38" s="79">
        <v>11111111</v>
      </c>
      <c r="I38" s="79">
        <v>11111111</v>
      </c>
      <c r="J38" s="80">
        <v>11111000</v>
      </c>
    </row>
    <row r="39" spans="6:10" ht="17" thickBot="1" x14ac:dyDescent="0.25">
      <c r="F39" s="81"/>
      <c r="G39" s="23"/>
      <c r="H39" s="24"/>
      <c r="I39" s="24"/>
      <c r="J39" s="25"/>
    </row>
    <row r="40" spans="6:10" x14ac:dyDescent="0.2">
      <c r="F40" s="86" t="s">
        <v>131</v>
      </c>
      <c r="G40" s="20">
        <v>192</v>
      </c>
      <c r="H40" s="21">
        <v>168</v>
      </c>
      <c r="I40" s="21">
        <v>100</v>
      </c>
      <c r="J40" s="22">
        <v>112</v>
      </c>
    </row>
    <row r="41" spans="6:10" ht="17" thickBot="1" x14ac:dyDescent="0.25">
      <c r="F41" s="86"/>
      <c r="G41" s="78">
        <v>11000000</v>
      </c>
      <c r="H41" s="79">
        <v>10101000</v>
      </c>
      <c r="I41" s="82" t="s">
        <v>115</v>
      </c>
      <c r="J41" s="83" t="s">
        <v>129</v>
      </c>
    </row>
    <row r="42" spans="6:10" ht="17" thickBot="1" x14ac:dyDescent="0.25">
      <c r="F42" s="24"/>
      <c r="G42" s="23"/>
      <c r="H42" s="24"/>
      <c r="I42" s="24"/>
      <c r="J42" s="25"/>
    </row>
    <row r="43" spans="6:10" x14ac:dyDescent="0.2">
      <c r="F43" s="86" t="s">
        <v>132</v>
      </c>
      <c r="G43" s="20">
        <v>192</v>
      </c>
      <c r="H43" s="21">
        <v>168</v>
      </c>
      <c r="I43" s="21">
        <v>100</v>
      </c>
      <c r="J43" s="22">
        <v>117</v>
      </c>
    </row>
    <row r="44" spans="6:10" ht="17" thickBot="1" x14ac:dyDescent="0.25">
      <c r="F44" s="86"/>
      <c r="G44" s="78">
        <v>11000000</v>
      </c>
      <c r="H44" s="79">
        <v>10101000</v>
      </c>
      <c r="I44" s="82" t="s">
        <v>115</v>
      </c>
      <c r="J44" s="83" t="s">
        <v>130</v>
      </c>
    </row>
  </sheetData>
  <mergeCells count="16">
    <mergeCell ref="F14:J14"/>
    <mergeCell ref="F15:F16"/>
    <mergeCell ref="F18:F19"/>
    <mergeCell ref="F21:F22"/>
    <mergeCell ref="F3:J3"/>
    <mergeCell ref="F4:F5"/>
    <mergeCell ref="F7:F8"/>
    <mergeCell ref="F10:F11"/>
    <mergeCell ref="F40:F41"/>
    <mergeCell ref="F43:F44"/>
    <mergeCell ref="F25:J25"/>
    <mergeCell ref="F26:F27"/>
    <mergeCell ref="F29:F30"/>
    <mergeCell ref="F32:F33"/>
    <mergeCell ref="F36:J36"/>
    <mergeCell ref="F37:F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5432-C53C-6447-9419-3A725DA153C1}">
  <dimension ref="A1:S17"/>
  <sheetViews>
    <sheetView zoomScale="142" workbookViewId="0">
      <selection activeCell="F28" sqref="F28"/>
    </sheetView>
  </sheetViews>
  <sheetFormatPr baseColWidth="10" defaultRowHeight="16" x14ac:dyDescent="0.2"/>
  <cols>
    <col min="1" max="1" width="14.83203125" bestFit="1" customWidth="1"/>
    <col min="2" max="2" width="17" customWidth="1"/>
    <col min="4" max="4" width="16.33203125" bestFit="1" customWidth="1"/>
    <col min="5" max="5" width="34.1640625" bestFit="1" customWidth="1"/>
    <col min="6" max="6" width="14.83203125" bestFit="1" customWidth="1"/>
    <col min="7" max="7" width="15.5" bestFit="1" customWidth="1"/>
    <col min="8" max="8" width="14.6640625" bestFit="1" customWidth="1"/>
    <col min="9" max="9" width="13.6640625" bestFit="1" customWidth="1"/>
    <col min="10" max="10" width="26.5" bestFit="1" customWidth="1"/>
    <col min="11" max="11" width="13.6640625" bestFit="1" customWidth="1"/>
  </cols>
  <sheetData>
    <row r="1" spans="1:19" ht="19" x14ac:dyDescent="0.2">
      <c r="D1" s="13" t="s">
        <v>52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</row>
    <row r="2" spans="1:19" x14ac:dyDescent="0.2">
      <c r="L2">
        <f>2^7</f>
        <v>128</v>
      </c>
      <c r="M2">
        <f>2^6</f>
        <v>64</v>
      </c>
      <c r="N2">
        <f>2^5</f>
        <v>32</v>
      </c>
      <c r="O2">
        <f>2^4</f>
        <v>16</v>
      </c>
      <c r="P2">
        <f>2^3</f>
        <v>8</v>
      </c>
      <c r="Q2">
        <f>2^2</f>
        <v>4</v>
      </c>
      <c r="R2">
        <f>2^1</f>
        <v>2</v>
      </c>
      <c r="S2">
        <f>2^0</f>
        <v>1</v>
      </c>
    </row>
    <row r="3" spans="1:19" ht="17" x14ac:dyDescent="0.2">
      <c r="A3" s="12" t="s">
        <v>41</v>
      </c>
      <c r="B3" s="12" t="s">
        <v>48</v>
      </c>
      <c r="E3" s="14" t="s">
        <v>53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ht="17" x14ac:dyDescent="0.2">
      <c r="A4" s="13" t="s">
        <v>49</v>
      </c>
      <c r="B4" s="13">
        <v>50</v>
      </c>
      <c r="F4" s="12" t="s">
        <v>41</v>
      </c>
      <c r="G4" s="12" t="s">
        <v>48</v>
      </c>
      <c r="H4" s="1" t="s">
        <v>54</v>
      </c>
      <c r="I4" s="1" t="s">
        <v>15</v>
      </c>
      <c r="J4" s="14" t="s">
        <v>1</v>
      </c>
    </row>
    <row r="5" spans="1:19" ht="17" x14ac:dyDescent="0.2">
      <c r="A5" s="13" t="s">
        <v>50</v>
      </c>
      <c r="B5" s="13">
        <v>25</v>
      </c>
      <c r="F5" s="13" t="s">
        <v>49</v>
      </c>
      <c r="G5" s="13">
        <v>50</v>
      </c>
      <c r="H5">
        <v>64</v>
      </c>
      <c r="I5" t="s">
        <v>33</v>
      </c>
      <c r="J5">
        <v>62</v>
      </c>
    </row>
    <row r="6" spans="1:19" ht="17" x14ac:dyDescent="0.2">
      <c r="A6" s="13" t="s">
        <v>51</v>
      </c>
      <c r="B6" s="13">
        <v>20</v>
      </c>
      <c r="F6" s="13" t="s">
        <v>50</v>
      </c>
      <c r="G6" s="13">
        <v>25</v>
      </c>
      <c r="H6">
        <v>32</v>
      </c>
      <c r="I6" t="s">
        <v>55</v>
      </c>
      <c r="J6">
        <v>30</v>
      </c>
    </row>
    <row r="7" spans="1:19" ht="17" x14ac:dyDescent="0.2">
      <c r="A7" s="13" t="s">
        <v>42</v>
      </c>
      <c r="B7" s="13">
        <v>10</v>
      </c>
      <c r="F7" s="13" t="s">
        <v>51</v>
      </c>
      <c r="G7" s="13">
        <v>20</v>
      </c>
      <c r="H7">
        <v>32</v>
      </c>
      <c r="I7" t="s">
        <v>55</v>
      </c>
      <c r="J7">
        <v>30</v>
      </c>
    </row>
    <row r="8" spans="1:19" ht="17" x14ac:dyDescent="0.2">
      <c r="F8" s="13" t="s">
        <v>42</v>
      </c>
      <c r="G8" s="13">
        <v>10</v>
      </c>
      <c r="H8">
        <v>16</v>
      </c>
      <c r="I8" t="s">
        <v>56</v>
      </c>
      <c r="J8">
        <v>14</v>
      </c>
    </row>
    <row r="12" spans="1:19" x14ac:dyDescent="0.2">
      <c r="E12" s="14" t="s">
        <v>57</v>
      </c>
    </row>
    <row r="13" spans="1:19" x14ac:dyDescent="0.2">
      <c r="F13" s="15" t="s">
        <v>41</v>
      </c>
      <c r="G13" s="15" t="s">
        <v>58</v>
      </c>
      <c r="H13" s="15" t="s">
        <v>43</v>
      </c>
      <c r="I13" s="15" t="s">
        <v>44</v>
      </c>
      <c r="J13" s="15" t="s">
        <v>59</v>
      </c>
      <c r="K13" s="15" t="s">
        <v>24</v>
      </c>
    </row>
    <row r="14" spans="1:19" x14ac:dyDescent="0.2">
      <c r="F14" s="16" t="s">
        <v>49</v>
      </c>
      <c r="G14" s="16" t="s">
        <v>33</v>
      </c>
      <c r="H14" s="16" t="s">
        <v>45</v>
      </c>
      <c r="I14" s="16" t="s">
        <v>60</v>
      </c>
      <c r="J14" s="16" t="s">
        <v>61</v>
      </c>
      <c r="K14" s="16" t="s">
        <v>62</v>
      </c>
    </row>
    <row r="15" spans="1:19" x14ac:dyDescent="0.2">
      <c r="F15" s="16" t="s">
        <v>50</v>
      </c>
      <c r="G15" s="16" t="s">
        <v>55</v>
      </c>
      <c r="H15" s="16" t="s">
        <v>63</v>
      </c>
      <c r="I15" s="16" t="s">
        <v>64</v>
      </c>
      <c r="J15" s="16" t="s">
        <v>65</v>
      </c>
      <c r="K15" s="16" t="s">
        <v>66</v>
      </c>
    </row>
    <row r="16" spans="1:19" x14ac:dyDescent="0.2">
      <c r="F16" s="16" t="s">
        <v>51</v>
      </c>
      <c r="G16" s="16" t="s">
        <v>55</v>
      </c>
      <c r="H16" s="16" t="s">
        <v>63</v>
      </c>
      <c r="I16" s="16" t="s">
        <v>67</v>
      </c>
      <c r="J16" s="16" t="s">
        <v>68</v>
      </c>
      <c r="K16" s="16" t="s">
        <v>69</v>
      </c>
    </row>
    <row r="17" spans="6:11" x14ac:dyDescent="0.2">
      <c r="F17" s="16" t="s">
        <v>42</v>
      </c>
      <c r="G17" s="16" t="s">
        <v>56</v>
      </c>
      <c r="H17" s="16" t="s">
        <v>70</v>
      </c>
      <c r="I17" s="16" t="s">
        <v>71</v>
      </c>
      <c r="J17" s="16" t="s">
        <v>72</v>
      </c>
      <c r="K17" s="1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C212-56B2-3541-8DAF-95C57EAED732}">
  <dimension ref="A1:O22"/>
  <sheetViews>
    <sheetView zoomScale="135" workbookViewId="0">
      <selection activeCell="E13" sqref="E13"/>
    </sheetView>
  </sheetViews>
  <sheetFormatPr baseColWidth="10" defaultRowHeight="16" x14ac:dyDescent="0.2"/>
  <cols>
    <col min="1" max="1" width="22.6640625" bestFit="1" customWidth="1"/>
    <col min="2" max="2" width="12.1640625" customWidth="1"/>
    <col min="3" max="3" width="13" customWidth="1"/>
    <col min="5" max="6" width="13.6640625" customWidth="1"/>
    <col min="7" max="7" width="26.33203125" bestFit="1" customWidth="1"/>
    <col min="8" max="8" width="13.6640625" bestFit="1" customWidth="1"/>
  </cols>
  <sheetData>
    <row r="1" spans="1:15" ht="19" x14ac:dyDescent="0.2">
      <c r="C1" t="s">
        <v>74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</row>
    <row r="2" spans="1:15" x14ac:dyDescent="0.2">
      <c r="H2">
        <f>2^7</f>
        <v>128</v>
      </c>
      <c r="I2">
        <f>2^6</f>
        <v>64</v>
      </c>
      <c r="J2">
        <f>2^5</f>
        <v>32</v>
      </c>
      <c r="K2">
        <f>2^4</f>
        <v>16</v>
      </c>
      <c r="L2">
        <f>2^3</f>
        <v>8</v>
      </c>
      <c r="M2">
        <f>2^2</f>
        <v>4</v>
      </c>
      <c r="N2">
        <f>2^1</f>
        <v>2</v>
      </c>
      <c r="O2">
        <f>2^0</f>
        <v>1</v>
      </c>
    </row>
    <row r="3" spans="1:15" ht="17" x14ac:dyDescent="0.2">
      <c r="A3" s="13" t="s">
        <v>75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ht="17" x14ac:dyDescent="0.2">
      <c r="A4" s="13" t="s">
        <v>76</v>
      </c>
    </row>
    <row r="5" spans="1:15" ht="17" x14ac:dyDescent="0.2">
      <c r="A5" s="13" t="s">
        <v>77</v>
      </c>
    </row>
    <row r="6" spans="1:15" ht="17" x14ac:dyDescent="0.2">
      <c r="A6" s="13" t="s">
        <v>78</v>
      </c>
    </row>
    <row r="8" spans="1:15" x14ac:dyDescent="0.2">
      <c r="B8" s="14" t="s">
        <v>53</v>
      </c>
    </row>
    <row r="9" spans="1:15" ht="17" x14ac:dyDescent="0.2">
      <c r="C9" s="12" t="s">
        <v>41</v>
      </c>
      <c r="D9" s="12" t="s">
        <v>48</v>
      </c>
      <c r="E9" s="1" t="s">
        <v>54</v>
      </c>
      <c r="F9" s="1" t="s">
        <v>15</v>
      </c>
      <c r="G9" s="14" t="s">
        <v>1</v>
      </c>
    </row>
    <row r="10" spans="1:15" ht="17" x14ac:dyDescent="0.2">
      <c r="C10" s="13" t="s">
        <v>79</v>
      </c>
      <c r="D10" s="13">
        <v>100</v>
      </c>
      <c r="E10">
        <v>128</v>
      </c>
      <c r="F10" t="s">
        <v>18</v>
      </c>
      <c r="G10">
        <v>126</v>
      </c>
    </row>
    <row r="11" spans="1:15" ht="17" x14ac:dyDescent="0.2">
      <c r="C11" s="13" t="s">
        <v>80</v>
      </c>
      <c r="D11" s="13">
        <v>50</v>
      </c>
      <c r="E11">
        <v>64</v>
      </c>
      <c r="F11" t="s">
        <v>33</v>
      </c>
      <c r="G11">
        <v>62</v>
      </c>
    </row>
    <row r="12" spans="1:15" ht="17" x14ac:dyDescent="0.2">
      <c r="C12" s="13" t="s">
        <v>81</v>
      </c>
      <c r="D12" s="13">
        <v>20</v>
      </c>
      <c r="E12">
        <v>32</v>
      </c>
      <c r="F12" t="s">
        <v>55</v>
      </c>
      <c r="G12">
        <v>30</v>
      </c>
    </row>
    <row r="13" spans="1:15" ht="17" x14ac:dyDescent="0.2">
      <c r="C13" s="13" t="s">
        <v>82</v>
      </c>
      <c r="D13" s="13">
        <v>10</v>
      </c>
      <c r="E13">
        <v>16</v>
      </c>
      <c r="F13" t="s">
        <v>56</v>
      </c>
      <c r="G13">
        <v>14</v>
      </c>
    </row>
    <row r="17" spans="2:8" x14ac:dyDescent="0.2">
      <c r="B17" s="14" t="s">
        <v>57</v>
      </c>
    </row>
    <row r="18" spans="2:8" x14ac:dyDescent="0.2">
      <c r="C18" s="15" t="s">
        <v>41</v>
      </c>
      <c r="D18" s="15" t="s">
        <v>58</v>
      </c>
      <c r="E18" s="15" t="s">
        <v>43</v>
      </c>
      <c r="F18" s="15" t="s">
        <v>44</v>
      </c>
      <c r="G18" s="15" t="s">
        <v>59</v>
      </c>
      <c r="H18" s="15" t="s">
        <v>24</v>
      </c>
    </row>
    <row r="19" spans="2:8" ht="17" x14ac:dyDescent="0.2">
      <c r="C19" s="13" t="s">
        <v>79</v>
      </c>
      <c r="D19" s="16" t="s">
        <v>33</v>
      </c>
      <c r="E19" s="16" t="s">
        <v>83</v>
      </c>
      <c r="F19" s="16" t="s">
        <v>60</v>
      </c>
      <c r="G19" s="16" t="s">
        <v>61</v>
      </c>
      <c r="H19" s="16" t="s">
        <v>62</v>
      </c>
    </row>
    <row r="20" spans="2:8" ht="17" x14ac:dyDescent="0.2">
      <c r="C20" s="13" t="s">
        <v>80</v>
      </c>
      <c r="D20" s="16" t="s">
        <v>55</v>
      </c>
      <c r="E20" s="16" t="s">
        <v>45</v>
      </c>
      <c r="F20" s="16" t="s">
        <v>64</v>
      </c>
      <c r="G20" s="16" t="s">
        <v>65</v>
      </c>
      <c r="H20" s="16" t="s">
        <v>66</v>
      </c>
    </row>
    <row r="21" spans="2:8" ht="17" x14ac:dyDescent="0.2">
      <c r="C21" s="13" t="s">
        <v>81</v>
      </c>
      <c r="D21" s="16" t="s">
        <v>55</v>
      </c>
      <c r="E21" s="16" t="s">
        <v>63</v>
      </c>
      <c r="F21" s="16" t="s">
        <v>67</v>
      </c>
      <c r="G21" s="16" t="s">
        <v>68</v>
      </c>
      <c r="H21" s="16" t="s">
        <v>69</v>
      </c>
    </row>
    <row r="22" spans="2:8" ht="17" x14ac:dyDescent="0.2">
      <c r="C22" s="13" t="s">
        <v>82</v>
      </c>
      <c r="D22" s="16" t="s">
        <v>56</v>
      </c>
      <c r="E22" s="16" t="s">
        <v>70</v>
      </c>
      <c r="F22" s="16" t="s">
        <v>71</v>
      </c>
      <c r="G22" s="16" t="s">
        <v>72</v>
      </c>
      <c r="H22" s="1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 06</vt:lpstr>
      <vt:lpstr>Activity 01</vt:lpstr>
      <vt:lpstr>VLSM</vt:lpstr>
      <vt:lpstr>Activity 0</vt:lpstr>
      <vt:lpstr>Activity 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Maimoona Khilji</dc:creator>
  <cp:lastModifiedBy>Maimoona Khilji</cp:lastModifiedBy>
  <dcterms:created xsi:type="dcterms:W3CDTF">2026-09-21T17:18:31Z</dcterms:created>
  <dcterms:modified xsi:type="dcterms:W3CDTF">2026-09-29T07:39:02Z</dcterms:modified>
</cp:coreProperties>
</file>