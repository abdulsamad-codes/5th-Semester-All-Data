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2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drawings/drawing3.xml" ContentType="application/vnd.openxmlformats-officedocument.drawing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moonakhilji/Downloads/"/>
    </mc:Choice>
  </mc:AlternateContent>
  <xr:revisionPtr revIDLastSave="0" documentId="13_ncr:1_{856A7B91-0708-5D44-9586-A8FB53F36009}" xr6:coauthVersionLast="47" xr6:coauthVersionMax="47" xr10:uidLastSave="{00000000-0000-0000-0000-000000000000}"/>
  <bookViews>
    <workbookView xWindow="0" yWindow="660" windowWidth="20480" windowHeight="15360" activeTab="3" xr2:uid="{3CDF6DB0-D8F0-974B-B912-27E8136FF36A}"/>
  </bookViews>
  <sheets>
    <sheet name="classes" sheetId="7" r:id="rId1"/>
    <sheet name="Lab 05" sheetId="8" r:id="rId2"/>
    <sheet name="2_subnets" sheetId="1" r:id="rId3"/>
    <sheet name="8_subnets" sheetId="5" r:id="rId4"/>
    <sheet name="Activity 01" sheetId="2" r:id="rId5"/>
    <sheet name="Activity 02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1" l="1"/>
  <c r="G13" i="2"/>
  <c r="C14" i="7"/>
  <c r="R8" i="7"/>
  <c r="Q8" i="7"/>
  <c r="P8" i="7"/>
  <c r="O8" i="7"/>
  <c r="Q7" i="7"/>
  <c r="P7" i="7"/>
  <c r="O7" i="7"/>
  <c r="S7" i="7" s="1"/>
  <c r="P6" i="7"/>
  <c r="O6" i="7"/>
  <c r="S6" i="7" s="1"/>
  <c r="O5" i="7"/>
  <c r="S5" i="7" s="1"/>
  <c r="S4" i="7"/>
  <c r="S8" i="7" l="1"/>
  <c r="O4" i="1"/>
  <c r="E4" i="2"/>
  <c r="E4" i="5"/>
  <c r="E13" i="5"/>
  <c r="D17" i="5" s="1"/>
  <c r="D18" i="5" s="1"/>
  <c r="D19" i="5" s="1"/>
  <c r="D20" i="5" s="1"/>
  <c r="D21" i="5" s="1"/>
  <c r="D22" i="5" s="1"/>
  <c r="D23" i="5" s="1"/>
  <c r="Q2" i="5"/>
  <c r="P2" i="5"/>
  <c r="O2" i="5"/>
  <c r="N2" i="5"/>
  <c r="M2" i="5"/>
  <c r="L2" i="5"/>
  <c r="K2" i="5"/>
  <c r="J2" i="5"/>
  <c r="G10" i="2"/>
  <c r="E13" i="2" s="1"/>
  <c r="D18" i="2" s="1"/>
  <c r="D19" i="2" s="1"/>
  <c r="Q2" i="2"/>
  <c r="P2" i="2"/>
  <c r="O2" i="2"/>
  <c r="N2" i="2"/>
  <c r="M2" i="2"/>
  <c r="L2" i="2"/>
  <c r="K2" i="2"/>
  <c r="J2" i="2"/>
  <c r="Q10" i="1"/>
  <c r="O13" i="1" s="1"/>
  <c r="AA2" i="1"/>
  <c r="Z2" i="1"/>
  <c r="Y2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<sst xmlns="http://schemas.openxmlformats.org/spreadsheetml/2006/main" count="257" uniqueCount="120">
  <si>
    <t>Subnet Mask</t>
  </si>
  <si>
    <t>32 bits</t>
  </si>
  <si>
    <t>Class C</t>
  </si>
  <si>
    <t>24 bits</t>
  </si>
  <si>
    <t>network adress</t>
  </si>
  <si>
    <r>
      <t>2</t>
    </r>
    <r>
      <rPr>
        <vertAlign val="superscript"/>
        <sz val="12"/>
        <color theme="1"/>
        <rFont val="Aptos Narrow (Body)"/>
      </rPr>
      <t>7</t>
    </r>
  </si>
  <si>
    <r>
      <t>2</t>
    </r>
    <r>
      <rPr>
        <vertAlign val="superscript"/>
        <sz val="12"/>
        <color theme="1"/>
        <rFont val="Aptos Narrow (Body)"/>
      </rPr>
      <t>6</t>
    </r>
  </si>
  <si>
    <r>
      <t>2</t>
    </r>
    <r>
      <rPr>
        <vertAlign val="superscript"/>
        <sz val="12"/>
        <color theme="1"/>
        <rFont val="Aptos Narrow (Body)"/>
      </rPr>
      <t>5</t>
    </r>
  </si>
  <si>
    <r>
      <t>2</t>
    </r>
    <r>
      <rPr>
        <vertAlign val="superscript"/>
        <sz val="12"/>
        <color theme="1"/>
        <rFont val="Aptos Narrow (Body)"/>
      </rPr>
      <t>4</t>
    </r>
  </si>
  <si>
    <r>
      <t>2</t>
    </r>
    <r>
      <rPr>
        <vertAlign val="superscript"/>
        <sz val="12"/>
        <color theme="1"/>
        <rFont val="Aptos Narrow (Body)"/>
      </rPr>
      <t>3</t>
    </r>
  </si>
  <si>
    <r>
      <t>2</t>
    </r>
    <r>
      <rPr>
        <vertAlign val="superscript"/>
        <sz val="12"/>
        <color theme="1"/>
        <rFont val="Aptos Narrow (Body)"/>
      </rPr>
      <t>2</t>
    </r>
  </si>
  <si>
    <r>
      <t>2</t>
    </r>
    <r>
      <rPr>
        <vertAlign val="superscript"/>
        <sz val="12"/>
        <color theme="1"/>
        <rFont val="Aptos Narrow (Body)"/>
      </rPr>
      <t>1</t>
    </r>
  </si>
  <si>
    <r>
      <t>2</t>
    </r>
    <r>
      <rPr>
        <vertAlign val="superscript"/>
        <sz val="12"/>
        <color theme="1"/>
        <rFont val="Aptos Narrow (Body)"/>
      </rPr>
      <t>0</t>
    </r>
  </si>
  <si>
    <t>192.168.10.0</t>
  </si>
  <si>
    <t>broadcast address</t>
  </si>
  <si>
    <t>192.168.10.255</t>
  </si>
  <si>
    <t>Number of subnets</t>
  </si>
  <si>
    <t>borrowed bits</t>
  </si>
  <si>
    <t>Find the required borrowed bits</t>
  </si>
  <si>
    <t>prefix</t>
  </si>
  <si>
    <t>Find the new prefix (+borrowed bits)</t>
  </si>
  <si>
    <t>Find the subnet mask</t>
  </si>
  <si>
    <t>(24+1)</t>
  </si>
  <si>
    <t>/25</t>
  </si>
  <si>
    <t>Find the block size. Look at the last octet:</t>
  </si>
  <si>
    <t>total bits - last octet</t>
  </si>
  <si>
    <t>List the subnets</t>
  </si>
  <si>
    <t xml:space="preserve">First Host </t>
  </si>
  <si>
    <t>Last Host</t>
  </si>
  <si>
    <t>Broadcast</t>
  </si>
  <si>
    <t xml:space="preserve">Network </t>
  </si>
  <si>
    <t xml:space="preserve">Subnet </t>
  </si>
  <si>
    <t>192.168.10.1</t>
  </si>
  <si>
    <t>192.168.10.127</t>
  </si>
  <si>
    <t>192.168.10.126</t>
  </si>
  <si>
    <t>192.168.10.128</t>
  </si>
  <si>
    <t>192.168.10.129</t>
  </si>
  <si>
    <t>(24+2)</t>
  </si>
  <si>
    <t>/26</t>
  </si>
  <si>
    <t>192.168.10.64</t>
  </si>
  <si>
    <t>192.168.10.192</t>
  </si>
  <si>
    <t>192.168.10.254</t>
  </si>
  <si>
    <t>192.168.10.193</t>
  </si>
  <si>
    <t>192.168.10.190</t>
  </si>
  <si>
    <t>192.168.10.191</t>
  </si>
  <si>
    <t>192.168.10.65</t>
  </si>
  <si>
    <t>IP Address</t>
  </si>
  <si>
    <t>Mask</t>
  </si>
  <si>
    <t>Network</t>
  </si>
  <si>
    <t>First Host</t>
  </si>
  <si>
    <t>192.168.10.25</t>
  </si>
  <si>
    <t>192.168.10.75</t>
  </si>
  <si>
    <t>192.168.10.140</t>
  </si>
  <si>
    <t>192.168.10.200</t>
  </si>
  <si>
    <t>255.255.255.192</t>
  </si>
  <si>
    <t>Block Size</t>
  </si>
  <si>
    <t>192.168.10.63</t>
  </si>
  <si>
    <t>192.168.10.62</t>
  </si>
  <si>
    <t>/27</t>
  </si>
  <si>
    <t>Prefix</t>
  </si>
  <si>
    <t>(24+3)</t>
  </si>
  <si>
    <t>192.168.10.32</t>
  </si>
  <si>
    <t>192.168.10.96</t>
  </si>
  <si>
    <t>192.168.10.160</t>
  </si>
  <si>
    <t>192.168.10.224</t>
  </si>
  <si>
    <t>192.168.10.31</t>
  </si>
  <si>
    <t>192.168.10.97</t>
  </si>
  <si>
    <t>192.168.10.161</t>
  </si>
  <si>
    <t>192.168.10.225</t>
  </si>
  <si>
    <t>192.168.10.30</t>
  </si>
  <si>
    <t>192.168.10.33</t>
  </si>
  <si>
    <t>192.168.10.95</t>
  </si>
  <si>
    <t>192.168.10.159</t>
  </si>
  <si>
    <t>192.168.10.223</t>
  </si>
  <si>
    <t>192.168.10.222</t>
  </si>
  <si>
    <t>192.168.10.158</t>
  </si>
  <si>
    <t>192.168.10.94</t>
  </si>
  <si>
    <t>Classes</t>
  </si>
  <si>
    <t>Higher bits</t>
  </si>
  <si>
    <t>A</t>
  </si>
  <si>
    <t>/8</t>
  </si>
  <si>
    <t>B</t>
  </si>
  <si>
    <t>/16</t>
  </si>
  <si>
    <t>C</t>
  </si>
  <si>
    <t>/24</t>
  </si>
  <si>
    <t>D</t>
  </si>
  <si>
    <t>X</t>
  </si>
  <si>
    <t>E</t>
  </si>
  <si>
    <t xml:space="preserve">IP </t>
  </si>
  <si>
    <t>Subnet mask</t>
  </si>
  <si>
    <t>Host</t>
  </si>
  <si>
    <t>Network IP address</t>
  </si>
  <si>
    <t>broadcast IP</t>
  </si>
  <si>
    <t>1st host</t>
  </si>
  <si>
    <t>last host</t>
  </si>
  <si>
    <t>192.168.10</t>
  </si>
  <si>
    <t>192.168.20</t>
  </si>
  <si>
    <t>192.168.10.0/24</t>
  </si>
  <si>
    <t>128.10.255.255</t>
  </si>
  <si>
    <t>subnet mask</t>
  </si>
  <si>
    <t>representation for network and host part</t>
  </si>
  <si>
    <t>subnet</t>
  </si>
  <si>
    <t>smaller network created using Subnetting</t>
  </si>
  <si>
    <t>Subnetting</t>
  </si>
  <si>
    <t>process of dividing larger network into smaller ones</t>
  </si>
  <si>
    <t>IP address</t>
  </si>
  <si>
    <t>network ID</t>
  </si>
  <si>
    <t>broadcast ID</t>
  </si>
  <si>
    <t>192.158.10.255</t>
  </si>
  <si>
    <t>subnetting</t>
  </si>
  <si>
    <t>process to divide a large network into smaller ones</t>
  </si>
  <si>
    <t>small network</t>
  </si>
  <si>
    <t>w</t>
  </si>
  <si>
    <t>00000000</t>
  </si>
  <si>
    <t>10000000</t>
  </si>
  <si>
    <t>Class B</t>
  </si>
  <si>
    <t>Class A</t>
  </si>
  <si>
    <t>11100000</t>
  </si>
  <si>
    <t>11000000</t>
  </si>
  <si>
    <t>0-255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</si>
</sst>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perscript"/>
      <sz val="12"/>
      <color theme="1"/>
      <name val="Aptos Narrow (Body)"/>
    </font>
    <font>
      <b/>
      <sz val="12"/>
      <color theme="1"/>
      <name val="Aptos Narrow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9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10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10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10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11" xfId="0" applyFill="1" applyBorder="1"/>
    <xf numFmtId="0" fontId="0" fillId="0" borderId="0" xfId="0" quotePrefix="1"/>
    <xf numFmtId="0" fontId="7" fillId="0" borderId="0" xfId="0" applyFont="1"/>
    <xf numFmtId="0" fontId="0" fillId="7" borderId="0" xfId="0" applyFill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3.xml"/><Relationship Id="rId18" Type="http://schemas.openxmlformats.org/officeDocument/2006/relationships/image" Target="../media/image15.png"/><Relationship Id="rId26" Type="http://schemas.openxmlformats.org/officeDocument/2006/relationships/image" Target="../media/image19.png"/><Relationship Id="rId39" Type="http://schemas.openxmlformats.org/officeDocument/2006/relationships/customXml" Target="../ink/ink26.xml"/><Relationship Id="rId21" Type="http://schemas.openxmlformats.org/officeDocument/2006/relationships/customXml" Target="../ink/ink17.xml"/><Relationship Id="rId34" Type="http://schemas.openxmlformats.org/officeDocument/2006/relationships/image" Target="../media/image23.png"/><Relationship Id="rId42" Type="http://schemas.openxmlformats.org/officeDocument/2006/relationships/image" Target="../media/image27.png"/><Relationship Id="rId47" Type="http://schemas.openxmlformats.org/officeDocument/2006/relationships/customXml" Target="../ink/ink30.xml"/><Relationship Id="rId50" Type="http://schemas.openxmlformats.org/officeDocument/2006/relationships/image" Target="../media/image31.png"/><Relationship Id="rId55" Type="http://schemas.openxmlformats.org/officeDocument/2006/relationships/customXml" Target="../ink/ink34.xml"/><Relationship Id="rId63" Type="http://schemas.openxmlformats.org/officeDocument/2006/relationships/customXml" Target="../ink/ink38.xml"/><Relationship Id="rId7" Type="http://schemas.openxmlformats.org/officeDocument/2006/relationships/customXml" Target="../ink/ink10.xml"/><Relationship Id="rId2" Type="http://schemas.openxmlformats.org/officeDocument/2006/relationships/image" Target="../media/image7.png"/><Relationship Id="rId16" Type="http://schemas.openxmlformats.org/officeDocument/2006/relationships/image" Target="../media/image14.png"/><Relationship Id="rId29" Type="http://schemas.openxmlformats.org/officeDocument/2006/relationships/customXml" Target="../ink/ink21.xml"/><Relationship Id="rId11" Type="http://schemas.openxmlformats.org/officeDocument/2006/relationships/customXml" Target="../ink/ink12.xml"/><Relationship Id="rId24" Type="http://schemas.openxmlformats.org/officeDocument/2006/relationships/image" Target="../media/image18.png"/><Relationship Id="rId32" Type="http://schemas.openxmlformats.org/officeDocument/2006/relationships/image" Target="../media/image22.png"/><Relationship Id="rId37" Type="http://schemas.openxmlformats.org/officeDocument/2006/relationships/customXml" Target="../ink/ink25.xml"/><Relationship Id="rId40" Type="http://schemas.openxmlformats.org/officeDocument/2006/relationships/image" Target="../media/image26.png"/><Relationship Id="rId45" Type="http://schemas.openxmlformats.org/officeDocument/2006/relationships/customXml" Target="../ink/ink29.xml"/><Relationship Id="rId53" Type="http://schemas.openxmlformats.org/officeDocument/2006/relationships/customXml" Target="../ink/ink33.xml"/><Relationship Id="rId58" Type="http://schemas.openxmlformats.org/officeDocument/2006/relationships/image" Target="../media/image35.png"/><Relationship Id="rId5" Type="http://schemas.openxmlformats.org/officeDocument/2006/relationships/customXml" Target="../ink/ink9.xml"/><Relationship Id="rId61" Type="http://schemas.openxmlformats.org/officeDocument/2006/relationships/customXml" Target="../ink/ink37.xml"/><Relationship Id="rId19" Type="http://schemas.openxmlformats.org/officeDocument/2006/relationships/customXml" Target="../ink/ink16.xml"/><Relationship Id="rId14" Type="http://schemas.openxmlformats.org/officeDocument/2006/relationships/image" Target="../media/image13.png"/><Relationship Id="rId22" Type="http://schemas.openxmlformats.org/officeDocument/2006/relationships/image" Target="../media/image17.png"/><Relationship Id="rId27" Type="http://schemas.openxmlformats.org/officeDocument/2006/relationships/customXml" Target="../ink/ink20.xml"/><Relationship Id="rId30" Type="http://schemas.openxmlformats.org/officeDocument/2006/relationships/image" Target="../media/image21.png"/><Relationship Id="rId35" Type="http://schemas.openxmlformats.org/officeDocument/2006/relationships/customXml" Target="../ink/ink24.xml"/><Relationship Id="rId43" Type="http://schemas.openxmlformats.org/officeDocument/2006/relationships/customXml" Target="../ink/ink28.xml"/><Relationship Id="rId48" Type="http://schemas.openxmlformats.org/officeDocument/2006/relationships/image" Target="../media/image30.png"/><Relationship Id="rId56" Type="http://schemas.openxmlformats.org/officeDocument/2006/relationships/image" Target="../media/image34.png"/><Relationship Id="rId64" Type="http://schemas.openxmlformats.org/officeDocument/2006/relationships/image" Target="../media/image38.png"/><Relationship Id="rId8" Type="http://schemas.openxmlformats.org/officeDocument/2006/relationships/image" Target="../media/image10.png"/><Relationship Id="rId51" Type="http://schemas.openxmlformats.org/officeDocument/2006/relationships/customXml" Target="../ink/ink32.xml"/><Relationship Id="rId3" Type="http://schemas.openxmlformats.org/officeDocument/2006/relationships/customXml" Target="../ink/ink8.xml"/><Relationship Id="rId12" Type="http://schemas.openxmlformats.org/officeDocument/2006/relationships/image" Target="../media/image12.png"/><Relationship Id="rId17" Type="http://schemas.openxmlformats.org/officeDocument/2006/relationships/customXml" Target="../ink/ink15.xml"/><Relationship Id="rId25" Type="http://schemas.openxmlformats.org/officeDocument/2006/relationships/customXml" Target="../ink/ink19.xml"/><Relationship Id="rId33" Type="http://schemas.openxmlformats.org/officeDocument/2006/relationships/customXml" Target="../ink/ink23.xml"/><Relationship Id="rId38" Type="http://schemas.openxmlformats.org/officeDocument/2006/relationships/image" Target="../media/image25.png"/><Relationship Id="rId46" Type="http://schemas.openxmlformats.org/officeDocument/2006/relationships/image" Target="../media/image29.png"/><Relationship Id="rId59" Type="http://schemas.openxmlformats.org/officeDocument/2006/relationships/customXml" Target="../ink/ink36.xml"/><Relationship Id="rId20" Type="http://schemas.openxmlformats.org/officeDocument/2006/relationships/image" Target="../media/image16.png"/><Relationship Id="rId41" Type="http://schemas.openxmlformats.org/officeDocument/2006/relationships/customXml" Target="../ink/ink27.xml"/><Relationship Id="rId54" Type="http://schemas.openxmlformats.org/officeDocument/2006/relationships/image" Target="../media/image33.png"/><Relationship Id="rId62" Type="http://schemas.openxmlformats.org/officeDocument/2006/relationships/image" Target="../media/image37.png"/><Relationship Id="rId1" Type="http://schemas.openxmlformats.org/officeDocument/2006/relationships/customXml" Target="../ink/ink7.xml"/><Relationship Id="rId6" Type="http://schemas.openxmlformats.org/officeDocument/2006/relationships/image" Target="../media/image9.png"/><Relationship Id="rId15" Type="http://schemas.openxmlformats.org/officeDocument/2006/relationships/customXml" Target="../ink/ink14.xml"/><Relationship Id="rId23" Type="http://schemas.openxmlformats.org/officeDocument/2006/relationships/customXml" Target="../ink/ink18.xml"/><Relationship Id="rId28" Type="http://schemas.openxmlformats.org/officeDocument/2006/relationships/image" Target="../media/image20.png"/><Relationship Id="rId36" Type="http://schemas.openxmlformats.org/officeDocument/2006/relationships/image" Target="../media/image24.png"/><Relationship Id="rId49" Type="http://schemas.openxmlformats.org/officeDocument/2006/relationships/customXml" Target="../ink/ink31.xml"/><Relationship Id="rId57" Type="http://schemas.openxmlformats.org/officeDocument/2006/relationships/customXml" Target="../ink/ink35.xml"/><Relationship Id="rId10" Type="http://schemas.openxmlformats.org/officeDocument/2006/relationships/image" Target="../media/image11.png"/><Relationship Id="rId31" Type="http://schemas.openxmlformats.org/officeDocument/2006/relationships/customXml" Target="../ink/ink22.xml"/><Relationship Id="rId44" Type="http://schemas.openxmlformats.org/officeDocument/2006/relationships/image" Target="../media/image28.png"/><Relationship Id="rId52" Type="http://schemas.openxmlformats.org/officeDocument/2006/relationships/image" Target="../media/image32.png"/><Relationship Id="rId60" Type="http://schemas.openxmlformats.org/officeDocument/2006/relationships/image" Target="../media/image36.png"/><Relationship Id="rId4" Type="http://schemas.openxmlformats.org/officeDocument/2006/relationships/image" Target="../media/image8.png"/><Relationship Id="rId9" Type="http://schemas.openxmlformats.org/officeDocument/2006/relationships/customXml" Target="../ink/ink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customXml" Target="../ink/ink45.xml"/><Relationship Id="rId18" Type="http://schemas.openxmlformats.org/officeDocument/2006/relationships/image" Target="../media/image47.png"/><Relationship Id="rId3" Type="http://schemas.openxmlformats.org/officeDocument/2006/relationships/customXml" Target="../ink/ink40.xml"/><Relationship Id="rId21" Type="http://schemas.openxmlformats.org/officeDocument/2006/relationships/customXml" Target="../ink/ink49.xml"/><Relationship Id="rId7" Type="http://schemas.openxmlformats.org/officeDocument/2006/relationships/customXml" Target="../ink/ink42.xml"/><Relationship Id="rId12" Type="http://schemas.openxmlformats.org/officeDocument/2006/relationships/image" Target="../media/image44.png"/><Relationship Id="rId17" Type="http://schemas.openxmlformats.org/officeDocument/2006/relationships/customXml" Target="../ink/ink47.xml"/><Relationship Id="rId2" Type="http://schemas.openxmlformats.org/officeDocument/2006/relationships/image" Target="../media/image39.png"/><Relationship Id="rId16" Type="http://schemas.openxmlformats.org/officeDocument/2006/relationships/image" Target="../media/image46.png"/><Relationship Id="rId20" Type="http://schemas.openxmlformats.org/officeDocument/2006/relationships/image" Target="../media/image48.png"/><Relationship Id="rId1" Type="http://schemas.openxmlformats.org/officeDocument/2006/relationships/customXml" Target="../ink/ink39.xml"/><Relationship Id="rId6" Type="http://schemas.openxmlformats.org/officeDocument/2006/relationships/image" Target="../media/image41.png"/><Relationship Id="rId11" Type="http://schemas.openxmlformats.org/officeDocument/2006/relationships/customXml" Target="../ink/ink44.xml"/><Relationship Id="rId5" Type="http://schemas.openxmlformats.org/officeDocument/2006/relationships/customXml" Target="../ink/ink41.xml"/><Relationship Id="rId15" Type="http://schemas.openxmlformats.org/officeDocument/2006/relationships/customXml" Target="../ink/ink46.xml"/><Relationship Id="rId10" Type="http://schemas.openxmlformats.org/officeDocument/2006/relationships/image" Target="../media/image43.png"/><Relationship Id="rId19" Type="http://schemas.openxmlformats.org/officeDocument/2006/relationships/customXml" Target="../ink/ink48.xml"/><Relationship Id="rId4" Type="http://schemas.openxmlformats.org/officeDocument/2006/relationships/image" Target="../media/image40.png"/><Relationship Id="rId9" Type="http://schemas.openxmlformats.org/officeDocument/2006/relationships/customXml" Target="../ink/ink43.xml"/><Relationship Id="rId14" Type="http://schemas.openxmlformats.org/officeDocument/2006/relationships/image" Target="../media/image45.png"/><Relationship Id="rId22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64780</xdr:colOff>
      <xdr:row>24</xdr:row>
      <xdr:rowOff>3360</xdr:rowOff>
    </xdr:from>
    <xdr:to>
      <xdr:col>14</xdr:col>
      <xdr:colOff>93820</xdr:colOff>
      <xdr:row>29</xdr:row>
      <xdr:rowOff>85720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4C8EB8F-84C9-AE38-9FF9-8EE94F9286AB}"/>
                </a:ext>
              </a:extLst>
            </xdr14:cNvPr>
            <xdr14:cNvContentPartPr/>
          </xdr14:nvContentPartPr>
          <xdr14:nvPr macro=""/>
          <xdr14:xfrm>
            <a:off x="7976880" y="4880160"/>
            <a:ext cx="4982040" cy="1098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4C8EB8F-84C9-AE38-9FF9-8EE94F9286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970760" y="4874040"/>
              <a:ext cx="4994280" cy="11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342640</xdr:colOff>
      <xdr:row>27</xdr:row>
      <xdr:rowOff>43200</xdr:rowOff>
    </xdr:from>
    <xdr:to>
      <xdr:col>11</xdr:col>
      <xdr:colOff>435880</xdr:colOff>
      <xdr:row>27</xdr:row>
      <xdr:rowOff>193680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D2E76FA-DCCE-108B-01A2-B6D2F5FD3DAF}"/>
                </a:ext>
              </a:extLst>
            </xdr14:cNvPr>
            <xdr14:cNvContentPartPr/>
          </xdr14:nvContentPartPr>
          <xdr14:nvPr macro=""/>
          <xdr14:xfrm>
            <a:off x="10731240" y="5529600"/>
            <a:ext cx="93240" cy="1504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D2E76FA-DCCE-108B-01A2-B6D2F5FD3DA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725120" y="5523480"/>
              <a:ext cx="10548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46780</xdr:colOff>
      <xdr:row>30</xdr:row>
      <xdr:rowOff>144600</xdr:rowOff>
    </xdr:from>
    <xdr:to>
      <xdr:col>14</xdr:col>
      <xdr:colOff>54580</xdr:colOff>
      <xdr:row>36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C71FE1C-020C-B3B3-D7B8-BD8E5AA6994E}"/>
                </a:ext>
              </a:extLst>
            </xdr14:cNvPr>
            <xdr14:cNvContentPartPr/>
          </xdr14:nvContentPartPr>
          <xdr14:nvPr macro=""/>
          <xdr14:xfrm>
            <a:off x="7958880" y="6240600"/>
            <a:ext cx="4960800" cy="1129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C71FE1C-020C-B3B3-D7B8-BD8E5AA6994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952760" y="6234480"/>
              <a:ext cx="4973040" cy="11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56120</xdr:colOff>
      <xdr:row>31</xdr:row>
      <xdr:rowOff>136520</xdr:rowOff>
    </xdr:from>
    <xdr:to>
      <xdr:col>9</xdr:col>
      <xdr:colOff>216680</xdr:colOff>
      <xdr:row>32</xdr:row>
      <xdr:rowOff>76240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C9AAD54-DBA8-48E8-8DAE-61F7EEE36B36}"/>
                </a:ext>
              </a:extLst>
            </xdr14:cNvPr>
            <xdr14:cNvContentPartPr/>
          </xdr14:nvContentPartPr>
          <xdr14:nvPr macro=""/>
          <xdr14:xfrm>
            <a:off x="8793720" y="6435720"/>
            <a:ext cx="160560" cy="1429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FC9AAD54-DBA8-48E8-8DAE-61F7EEE36B3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787600" y="6429600"/>
              <a:ext cx="17280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390920</xdr:colOff>
      <xdr:row>35</xdr:row>
      <xdr:rowOff>140200</xdr:rowOff>
    </xdr:from>
    <xdr:to>
      <xdr:col>9</xdr:col>
      <xdr:colOff>565880</xdr:colOff>
      <xdr:row>36</xdr:row>
      <xdr:rowOff>153360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017C8B0-66F4-0C12-868A-B05C315C57B4}"/>
                </a:ext>
              </a:extLst>
            </xdr14:cNvPr>
            <xdr14:cNvContentPartPr/>
          </xdr14:nvContentPartPr>
          <xdr14:nvPr macro=""/>
          <xdr14:xfrm>
            <a:off x="9128520" y="7252200"/>
            <a:ext cx="174960" cy="216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017C8B0-66F4-0C12-868A-B05C315C57B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122400" y="7246080"/>
              <a:ext cx="18720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170960</xdr:colOff>
      <xdr:row>38</xdr:row>
      <xdr:rowOff>69160</xdr:rowOff>
    </xdr:from>
    <xdr:to>
      <xdr:col>9</xdr:col>
      <xdr:colOff>524480</xdr:colOff>
      <xdr:row>39</xdr:row>
      <xdr:rowOff>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9825ECB-C754-6EE7-4570-B9F83759DD7F}"/>
                </a:ext>
              </a:extLst>
            </xdr14:cNvPr>
            <xdr14:cNvContentPartPr/>
          </xdr14:nvContentPartPr>
          <xdr14:nvPr macro=""/>
          <xdr14:xfrm>
            <a:off x="8908560" y="7790760"/>
            <a:ext cx="353520" cy="1368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9825ECB-C754-6EE7-4570-B9F83759DD7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902440" y="7784640"/>
              <a:ext cx="365760" cy="149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436804</xdr:colOff>
      <xdr:row>25</xdr:row>
      <xdr:rowOff>35851</xdr:rowOff>
    </xdr:from>
    <xdr:to>
      <xdr:col>19</xdr:col>
      <xdr:colOff>668644</xdr:colOff>
      <xdr:row>26</xdr:row>
      <xdr:rowOff>74443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243895B-D088-D7F1-E88E-640FFAAD72B1}"/>
                </a:ext>
              </a:extLst>
            </xdr14:cNvPr>
            <xdr14:cNvContentPartPr/>
          </xdr14:nvContentPartPr>
          <xdr14:nvPr macro=""/>
          <xdr14:xfrm>
            <a:off x="21035160" y="5185440"/>
            <a:ext cx="231840" cy="241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43895B-D088-D7F1-E88E-640FFAAD72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029040" y="5179320"/>
              <a:ext cx="24408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571804</xdr:colOff>
      <xdr:row>24</xdr:row>
      <xdr:rowOff>46939</xdr:rowOff>
    </xdr:from>
    <xdr:to>
      <xdr:col>19</xdr:col>
      <xdr:colOff>666844</xdr:colOff>
      <xdr:row>24</xdr:row>
      <xdr:rowOff>113179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BB51FD5-2F5D-6156-F9ED-C3BB0B9CB9A1}"/>
                </a:ext>
              </a:extLst>
            </xdr14:cNvPr>
            <xdr14:cNvContentPartPr/>
          </xdr14:nvContentPartPr>
          <xdr14:nvPr macro=""/>
          <xdr14:xfrm>
            <a:off x="21170160" y="4993560"/>
            <a:ext cx="95040" cy="66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BB51FD5-2F5D-6156-F9ED-C3BB0B9CB9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164040" y="4987440"/>
              <a:ext cx="10728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565324</xdr:colOff>
      <xdr:row>23</xdr:row>
      <xdr:rowOff>178267</xdr:rowOff>
    </xdr:from>
    <xdr:to>
      <xdr:col>19</xdr:col>
      <xdr:colOff>571444</xdr:colOff>
      <xdr:row>24</xdr:row>
      <xdr:rowOff>59179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12049FE-C1B2-49FF-ACFE-D40C47B71652}"/>
                </a:ext>
              </a:extLst>
            </xdr14:cNvPr>
            <xdr14:cNvContentPartPr/>
          </xdr14:nvContentPartPr>
          <xdr14:nvPr macro=""/>
          <xdr14:xfrm>
            <a:off x="21163680" y="4921920"/>
            <a:ext cx="6120" cy="838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12049FE-C1B2-49FF-ACFE-D40C47B7165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157560" y="4915800"/>
              <a:ext cx="1836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112294</xdr:colOff>
      <xdr:row>25</xdr:row>
      <xdr:rowOff>60331</xdr:rowOff>
    </xdr:from>
    <xdr:to>
      <xdr:col>20</xdr:col>
      <xdr:colOff>207694</xdr:colOff>
      <xdr:row>25</xdr:row>
      <xdr:rowOff>60691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A99A01A-3FD5-9B74-54E1-EDC284999EBE}"/>
                </a:ext>
              </a:extLst>
            </xdr14:cNvPr>
            <xdr14:cNvContentPartPr/>
          </xdr14:nvContentPartPr>
          <xdr14:nvPr macro=""/>
          <xdr14:xfrm>
            <a:off x="21534120" y="5209920"/>
            <a:ext cx="9540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A99A01A-3FD5-9B74-54E1-EDC284999EB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528000" y="5203800"/>
              <a:ext cx="107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44016</xdr:colOff>
      <xdr:row>1</xdr:row>
      <xdr:rowOff>107798</xdr:rowOff>
    </xdr:from>
    <xdr:to>
      <xdr:col>15</xdr:col>
      <xdr:colOff>224016</xdr:colOff>
      <xdr:row>4</xdr:row>
      <xdr:rowOff>99734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7F49559-1E2A-3860-C043-E830F5D581B0}"/>
                </a:ext>
              </a:extLst>
            </xdr14:cNvPr>
            <xdr14:cNvContentPartPr/>
          </xdr14:nvContentPartPr>
          <xdr14:nvPr macro=""/>
          <xdr14:xfrm>
            <a:off x="16907760" y="351360"/>
            <a:ext cx="180000" cy="6008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7F49559-1E2A-3860-C043-E830F5D581B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6901640" y="345240"/>
              <a:ext cx="192240" cy="61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578584</xdr:colOff>
      <xdr:row>3</xdr:row>
      <xdr:rowOff>37382</xdr:rowOff>
    </xdr:from>
    <xdr:to>
      <xdr:col>18</xdr:col>
      <xdr:colOff>44914</xdr:colOff>
      <xdr:row>3</xdr:row>
      <xdr:rowOff>168062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5D68232-FE8B-BAC2-C17C-5888EC7FDA1A}"/>
                </a:ext>
              </a:extLst>
            </xdr14:cNvPr>
            <xdr14:cNvContentPartPr/>
          </xdr14:nvContentPartPr>
          <xdr14:nvPr macro=""/>
          <xdr14:xfrm>
            <a:off x="19530000" y="686880"/>
            <a:ext cx="289800" cy="1306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5D68232-FE8B-BAC2-C17C-5888EC7FDA1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9523888" y="680760"/>
              <a:ext cx="302025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123904</xdr:colOff>
      <xdr:row>2</xdr:row>
      <xdr:rowOff>135950</xdr:rowOff>
    </xdr:from>
    <xdr:to>
      <xdr:col>17</xdr:col>
      <xdr:colOff>351424</xdr:colOff>
      <xdr:row>4</xdr:row>
      <xdr:rowOff>147974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316569DF-40CC-B528-9CDB-A8D45FE0B18D}"/>
                </a:ext>
              </a:extLst>
            </xdr14:cNvPr>
            <xdr14:cNvContentPartPr/>
          </xdr14:nvContentPartPr>
          <xdr14:nvPr macro=""/>
          <xdr14:xfrm>
            <a:off x="19075320" y="582480"/>
            <a:ext cx="227520" cy="4179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316569DF-40CC-B528-9CDB-A8D45FE0B18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9069200" y="576360"/>
              <a:ext cx="239760" cy="43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990096</xdr:colOff>
      <xdr:row>2</xdr:row>
      <xdr:rowOff>5270</xdr:rowOff>
    </xdr:from>
    <xdr:to>
      <xdr:col>16</xdr:col>
      <xdr:colOff>949940</xdr:colOff>
      <xdr:row>3</xdr:row>
      <xdr:rowOff>193262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C8861D4-EFC0-ACDE-1771-0CD15016431F}"/>
                </a:ext>
              </a:extLst>
            </xdr14:cNvPr>
            <xdr14:cNvContentPartPr/>
          </xdr14:nvContentPartPr>
          <xdr14:nvPr macro=""/>
          <xdr14:xfrm>
            <a:off x="17853840" y="451800"/>
            <a:ext cx="1003680" cy="3909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C8861D4-EFC0-ACDE-1771-0CD15016431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7847720" y="445680"/>
              <a:ext cx="1015920" cy="40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721897</xdr:colOff>
      <xdr:row>11</xdr:row>
      <xdr:rowOff>99902</xdr:rowOff>
    </xdr:from>
    <xdr:to>
      <xdr:col>23</xdr:col>
      <xdr:colOff>89347</xdr:colOff>
      <xdr:row>11</xdr:row>
      <xdr:rowOff>155342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E1E5F34-E2EE-9E50-7FBB-45D1E6159D5B}"/>
                </a:ext>
              </a:extLst>
            </xdr14:cNvPr>
            <xdr14:cNvContentPartPr/>
          </xdr14:nvContentPartPr>
          <xdr14:nvPr macro=""/>
          <xdr14:xfrm>
            <a:off x="22165920" y="2399040"/>
            <a:ext cx="1841760" cy="554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3E1E5F34-E2EE-9E50-7FBB-45D1E6159D5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2159800" y="2392920"/>
              <a:ext cx="185400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52268</xdr:colOff>
      <xdr:row>11</xdr:row>
      <xdr:rowOff>24983</xdr:rowOff>
    </xdr:from>
    <xdr:to>
      <xdr:col>23</xdr:col>
      <xdr:colOff>62348</xdr:colOff>
      <xdr:row>11</xdr:row>
      <xdr:rowOff>140183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548D3D0-CE84-7266-10BC-F0986F1ADAED}"/>
                </a:ext>
              </a:extLst>
            </xdr14:cNvPr>
            <xdr14:cNvContentPartPr/>
          </xdr14:nvContentPartPr>
          <xdr14:nvPr macro=""/>
          <xdr14:xfrm>
            <a:off x="23990760" y="2297880"/>
            <a:ext cx="10080" cy="1152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548D3D0-CE84-7266-10BC-F0986F1ADAE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3984640" y="2291760"/>
              <a:ext cx="2232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1096519</xdr:colOff>
      <xdr:row>22</xdr:row>
      <xdr:rowOff>150047</xdr:rowOff>
    </xdr:from>
    <xdr:to>
      <xdr:col>14</xdr:col>
      <xdr:colOff>678630</xdr:colOff>
      <xdr:row>28</xdr:row>
      <xdr:rowOff>184908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B9498F6-9E70-DA12-F026-23368B85F673}"/>
                </a:ext>
              </a:extLst>
            </xdr14:cNvPr>
            <xdr14:cNvContentPartPr/>
          </xdr14:nvContentPartPr>
          <xdr14:nvPr macro=""/>
          <xdr14:xfrm>
            <a:off x="10934280" y="4623480"/>
            <a:ext cx="5581440" cy="12290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B9498F6-9E70-DA12-F026-23368B85F67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928158" y="4617469"/>
              <a:ext cx="5593683" cy="1241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1309279</xdr:colOff>
      <xdr:row>27</xdr:row>
      <xdr:rowOff>57418</xdr:rowOff>
    </xdr:from>
    <xdr:to>
      <xdr:col>11</xdr:col>
      <xdr:colOff>2517776</xdr:colOff>
      <xdr:row>32</xdr:row>
      <xdr:rowOff>22029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74574E1E-1311-40CD-61EE-F396E1C9C97A}"/>
                </a:ext>
              </a:extLst>
            </xdr14:cNvPr>
            <xdr14:cNvContentPartPr/>
          </xdr14:nvContentPartPr>
          <xdr14:nvPr macro=""/>
          <xdr14:xfrm>
            <a:off x="11147040" y="5526000"/>
            <a:ext cx="2544840" cy="9597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74574E1E-1311-40CD-61EE-F396E1C9C97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1140915" y="5519997"/>
              <a:ext cx="2557090" cy="9717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109917</xdr:colOff>
      <xdr:row>26</xdr:row>
      <xdr:rowOff>130448</xdr:rowOff>
    </xdr:from>
    <xdr:to>
      <xdr:col>14</xdr:col>
      <xdr:colOff>802110</xdr:colOff>
      <xdr:row>30</xdr:row>
      <xdr:rowOff>138568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1D70AFE-2A69-17BA-117E-668E02434AA1}"/>
                </a:ext>
              </a:extLst>
            </xdr14:cNvPr>
            <xdr14:cNvContentPartPr/>
          </xdr14:nvContentPartPr>
          <xdr14:nvPr macro=""/>
          <xdr14:xfrm>
            <a:off x="13909320" y="5400000"/>
            <a:ext cx="2729880" cy="8042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1D70AFE-2A69-17BA-117E-668E02434AA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3903190" y="5393993"/>
              <a:ext cx="2742139" cy="816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1239439</xdr:colOff>
      <xdr:row>35</xdr:row>
      <xdr:rowOff>4899</xdr:rowOff>
    </xdr:from>
    <xdr:to>
      <xdr:col>11</xdr:col>
      <xdr:colOff>1736</xdr:colOff>
      <xdr:row>35</xdr:row>
      <xdr:rowOff>125139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B8FB31C2-3F5F-D9D4-8A62-B6F720DBC200}"/>
                </a:ext>
              </a:extLst>
            </xdr14:cNvPr>
            <xdr14:cNvContentPartPr/>
          </xdr14:nvContentPartPr>
          <xdr14:nvPr macro=""/>
          <xdr14:xfrm>
            <a:off x="11077200" y="7065720"/>
            <a:ext cx="98640" cy="1202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B8FB31C2-3F5F-D9D4-8A62-B6F720DBC20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1071080" y="7059600"/>
              <a:ext cx="11088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2007656</xdr:colOff>
      <xdr:row>32</xdr:row>
      <xdr:rowOff>182589</xdr:rowOff>
    </xdr:from>
    <xdr:to>
      <xdr:col>11</xdr:col>
      <xdr:colOff>2043656</xdr:colOff>
      <xdr:row>34</xdr:row>
      <xdr:rowOff>51649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73781C3-FCE0-1511-EDC4-EBF6C4CA3CDA}"/>
                </a:ext>
              </a:extLst>
            </xdr14:cNvPr>
            <xdr14:cNvContentPartPr/>
          </xdr14:nvContentPartPr>
          <xdr14:nvPr macro=""/>
          <xdr14:xfrm>
            <a:off x="13181760" y="6646320"/>
            <a:ext cx="36000" cy="2671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73781C3-FCE0-1511-EDC4-EBF6C4CA3CD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3175640" y="6640200"/>
              <a:ext cx="48240" cy="27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2185136</xdr:colOff>
      <xdr:row>33</xdr:row>
      <xdr:rowOff>18839</xdr:rowOff>
    </xdr:from>
    <xdr:to>
      <xdr:col>11</xdr:col>
      <xdr:colOff>2256776</xdr:colOff>
      <xdr:row>33</xdr:row>
      <xdr:rowOff>167879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6D60E81-E478-503C-1D48-00F438CD0210}"/>
                </a:ext>
              </a:extLst>
            </xdr14:cNvPr>
            <xdr14:cNvContentPartPr/>
          </xdr14:nvContentPartPr>
          <xdr14:nvPr macro=""/>
          <xdr14:xfrm>
            <a:off x="13359240" y="6681600"/>
            <a:ext cx="71640" cy="1490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6D60E81-E478-503C-1D48-00F438CD0210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3353120" y="6675480"/>
              <a:ext cx="8388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2263976</xdr:colOff>
      <xdr:row>32</xdr:row>
      <xdr:rowOff>188709</xdr:rowOff>
    </xdr:from>
    <xdr:to>
      <xdr:col>11</xdr:col>
      <xdr:colOff>2314016</xdr:colOff>
      <xdr:row>33</xdr:row>
      <xdr:rowOff>141959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1976BE10-D900-1E44-16D2-809AE631526C}"/>
                </a:ext>
              </a:extLst>
            </xdr14:cNvPr>
            <xdr14:cNvContentPartPr/>
          </xdr14:nvContentPartPr>
          <xdr14:nvPr macro=""/>
          <xdr14:xfrm>
            <a:off x="13438080" y="6652440"/>
            <a:ext cx="50040" cy="1522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1976BE10-D900-1E44-16D2-809AE631526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3431960" y="6646320"/>
              <a:ext cx="6228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2284856</xdr:colOff>
      <xdr:row>33</xdr:row>
      <xdr:rowOff>89759</xdr:rowOff>
    </xdr:from>
    <xdr:to>
      <xdr:col>11</xdr:col>
      <xdr:colOff>2373776</xdr:colOff>
      <xdr:row>33</xdr:row>
      <xdr:rowOff>90119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51EFAC1E-8B8B-3F65-C456-FD52301D142C}"/>
                </a:ext>
              </a:extLst>
            </xdr14:cNvPr>
            <xdr14:cNvContentPartPr/>
          </xdr14:nvContentPartPr>
          <xdr14:nvPr macro=""/>
          <xdr14:xfrm>
            <a:off x="13458960" y="6752520"/>
            <a:ext cx="88920" cy="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51EFAC1E-8B8B-3F65-C456-FD52301D142C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3452840" y="6746400"/>
              <a:ext cx="1011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232677</xdr:colOff>
      <xdr:row>32</xdr:row>
      <xdr:rowOff>58029</xdr:rowOff>
    </xdr:from>
    <xdr:to>
      <xdr:col>12</xdr:col>
      <xdr:colOff>246717</xdr:colOff>
      <xdr:row>32</xdr:row>
      <xdr:rowOff>166389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A2B7587-57EE-F6C3-9A0C-FBEDEE359901}"/>
                </a:ext>
              </a:extLst>
            </xdr14:cNvPr>
            <xdr14:cNvContentPartPr/>
          </xdr14:nvContentPartPr>
          <xdr14:nvPr macro=""/>
          <xdr14:xfrm>
            <a:off x="14032080" y="6521760"/>
            <a:ext cx="14040" cy="108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A2B7587-57EE-F6C3-9A0C-FBEDEE359901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4025960" y="6515640"/>
              <a:ext cx="2628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245997</xdr:colOff>
      <xdr:row>32</xdr:row>
      <xdr:rowOff>152349</xdr:rowOff>
    </xdr:from>
    <xdr:to>
      <xdr:col>12</xdr:col>
      <xdr:colOff>392517</xdr:colOff>
      <xdr:row>33</xdr:row>
      <xdr:rowOff>43319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B41A8B4-8BDA-F725-7D3A-059BF6B97406}"/>
                </a:ext>
              </a:extLst>
            </xdr14:cNvPr>
            <xdr14:cNvContentPartPr/>
          </xdr14:nvContentPartPr>
          <xdr14:nvPr macro=""/>
          <xdr14:xfrm>
            <a:off x="14045400" y="6616080"/>
            <a:ext cx="146520" cy="900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B41A8B4-8BDA-F725-7D3A-059BF6B9740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4039280" y="6609960"/>
              <a:ext cx="15876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380997</xdr:colOff>
      <xdr:row>32</xdr:row>
      <xdr:rowOff>127509</xdr:rowOff>
    </xdr:from>
    <xdr:to>
      <xdr:col>12</xdr:col>
      <xdr:colOff>484677</xdr:colOff>
      <xdr:row>33</xdr:row>
      <xdr:rowOff>128999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C53EF020-4CD7-9BC0-7546-E7F71FA72E2B}"/>
                </a:ext>
              </a:extLst>
            </xdr14:cNvPr>
            <xdr14:cNvContentPartPr/>
          </xdr14:nvContentPartPr>
          <xdr14:nvPr macro=""/>
          <xdr14:xfrm>
            <a:off x="14180400" y="6591240"/>
            <a:ext cx="103680" cy="2005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C53EF020-4CD7-9BC0-7546-E7F71FA72E2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4174280" y="6585120"/>
              <a:ext cx="11592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713550</xdr:colOff>
      <xdr:row>31</xdr:row>
      <xdr:rowOff>24859</xdr:rowOff>
    </xdr:from>
    <xdr:to>
      <xdr:col>14</xdr:col>
      <xdr:colOff>769710</xdr:colOff>
      <xdr:row>31</xdr:row>
      <xdr:rowOff>60859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121073E6-5EB4-550B-84B1-43510CBA4879}"/>
                </a:ext>
              </a:extLst>
            </xdr14:cNvPr>
            <xdr14:cNvContentPartPr/>
          </xdr14:nvContentPartPr>
          <xdr14:nvPr macro=""/>
          <xdr14:xfrm>
            <a:off x="16550640" y="6289560"/>
            <a:ext cx="56160" cy="360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121073E6-5EB4-550B-84B1-43510CBA487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6544520" y="6283440"/>
              <a:ext cx="6840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828390</xdr:colOff>
      <xdr:row>30</xdr:row>
      <xdr:rowOff>181768</xdr:rowOff>
    </xdr:from>
    <xdr:to>
      <xdr:col>14</xdr:col>
      <xdr:colOff>879870</xdr:colOff>
      <xdr:row>31</xdr:row>
      <xdr:rowOff>44659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1B773F5-A160-2C7E-E4C6-16F9381BF063}"/>
                </a:ext>
              </a:extLst>
            </xdr14:cNvPr>
            <xdr14:cNvContentPartPr/>
          </xdr14:nvContentPartPr>
          <xdr14:nvPr macro=""/>
          <xdr14:xfrm>
            <a:off x="16665480" y="6247440"/>
            <a:ext cx="51480" cy="619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51B773F5-A160-2C7E-E4C6-16F9381BF063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6659360" y="6241320"/>
              <a:ext cx="6372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826590</xdr:colOff>
      <xdr:row>30</xdr:row>
      <xdr:rowOff>118768</xdr:rowOff>
    </xdr:from>
    <xdr:to>
      <xdr:col>14</xdr:col>
      <xdr:colOff>874470</xdr:colOff>
      <xdr:row>30</xdr:row>
      <xdr:rowOff>119128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A0F36FB-866E-C6BF-3015-3859400581C2}"/>
                </a:ext>
              </a:extLst>
            </xdr14:cNvPr>
            <xdr14:cNvContentPartPr/>
          </xdr14:nvContentPartPr>
          <xdr14:nvPr macro=""/>
          <xdr14:xfrm>
            <a:off x="16663680" y="6184440"/>
            <a:ext cx="47880" cy="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A0F36FB-866E-C6BF-3015-3859400581C2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6657560" y="6178320"/>
              <a:ext cx="601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895350</xdr:colOff>
      <xdr:row>30</xdr:row>
      <xdr:rowOff>141448</xdr:rowOff>
    </xdr:from>
    <xdr:to>
      <xdr:col>14</xdr:col>
      <xdr:colOff>991110</xdr:colOff>
      <xdr:row>31</xdr:row>
      <xdr:rowOff>16579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230DCE6D-B288-C35D-CD05-9D9107E374E3}"/>
                </a:ext>
              </a:extLst>
            </xdr14:cNvPr>
            <xdr14:cNvContentPartPr/>
          </xdr14:nvContentPartPr>
          <xdr14:nvPr macro=""/>
          <xdr14:xfrm>
            <a:off x="16732440" y="6207120"/>
            <a:ext cx="95760" cy="741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230DCE6D-B288-C35D-CD05-9D9107E374E3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6726320" y="6201000"/>
              <a:ext cx="10800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952590</xdr:colOff>
      <xdr:row>30</xdr:row>
      <xdr:rowOff>91408</xdr:rowOff>
    </xdr:from>
    <xdr:to>
      <xdr:col>15</xdr:col>
      <xdr:colOff>32093</xdr:colOff>
      <xdr:row>30</xdr:row>
      <xdr:rowOff>107248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7EC8BDD-C9D1-9521-AC40-7C7F948C1587}"/>
                </a:ext>
              </a:extLst>
            </xdr14:cNvPr>
            <xdr14:cNvContentPartPr/>
          </xdr14:nvContentPartPr>
          <xdr14:nvPr macro=""/>
          <xdr14:xfrm>
            <a:off x="16789680" y="6157080"/>
            <a:ext cx="122040" cy="158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07EC8BDD-C9D1-9521-AC40-7C7F948C1587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6783560" y="6150960"/>
              <a:ext cx="13428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1126736</xdr:colOff>
      <xdr:row>31</xdr:row>
      <xdr:rowOff>180019</xdr:rowOff>
    </xdr:from>
    <xdr:to>
      <xdr:col>11</xdr:col>
      <xdr:colOff>1127096</xdr:colOff>
      <xdr:row>32</xdr:row>
      <xdr:rowOff>159909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F22C852-8FC3-CB1C-B0EF-E562FBD239C4}"/>
                </a:ext>
              </a:extLst>
            </xdr14:cNvPr>
            <xdr14:cNvContentPartPr/>
          </xdr14:nvContentPartPr>
          <xdr14:nvPr macro=""/>
          <xdr14:xfrm>
            <a:off x="12300840" y="6444720"/>
            <a:ext cx="360" cy="1789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F22C852-8FC3-CB1C-B0EF-E562FBD239C4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2294720" y="6438600"/>
              <a:ext cx="126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1060856</xdr:colOff>
      <xdr:row>32</xdr:row>
      <xdr:rowOff>164589</xdr:rowOff>
    </xdr:from>
    <xdr:to>
      <xdr:col>11</xdr:col>
      <xdr:colOff>1249856</xdr:colOff>
      <xdr:row>33</xdr:row>
      <xdr:rowOff>92999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324141F-D161-43C8-FDF0-53D6ABB88576}"/>
                </a:ext>
              </a:extLst>
            </xdr14:cNvPr>
            <xdr14:cNvContentPartPr/>
          </xdr14:nvContentPartPr>
          <xdr14:nvPr macro=""/>
          <xdr14:xfrm>
            <a:off x="12234960" y="6628320"/>
            <a:ext cx="189000" cy="1274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324141F-D161-43C8-FDF0-53D6ABB88576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2228840" y="6622200"/>
              <a:ext cx="20124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1705616</xdr:colOff>
      <xdr:row>32</xdr:row>
      <xdr:rowOff>38589</xdr:rowOff>
    </xdr:from>
    <xdr:to>
      <xdr:col>11</xdr:col>
      <xdr:colOff>2537936</xdr:colOff>
      <xdr:row>36</xdr:row>
      <xdr:rowOff>4949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32CC352A-2F12-E219-8195-AF438B1A0EC8}"/>
                </a:ext>
              </a:extLst>
            </xdr14:cNvPr>
            <xdr14:cNvContentPartPr/>
          </xdr14:nvContentPartPr>
          <xdr14:nvPr macro=""/>
          <xdr14:xfrm>
            <a:off x="12879720" y="6502320"/>
            <a:ext cx="832320" cy="7624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32CC352A-2F12-E219-8195-AF438B1A0EC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2873600" y="6496319"/>
              <a:ext cx="844560" cy="7744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904976</xdr:colOff>
      <xdr:row>28</xdr:row>
      <xdr:rowOff>166548</xdr:rowOff>
    </xdr:from>
    <xdr:to>
      <xdr:col>11</xdr:col>
      <xdr:colOff>1808936</xdr:colOff>
      <xdr:row>30</xdr:row>
      <xdr:rowOff>18688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21DEC02-6A09-A74C-41F9-19CB115735CA}"/>
                </a:ext>
              </a:extLst>
            </xdr14:cNvPr>
            <xdr14:cNvContentPartPr/>
          </xdr14:nvContentPartPr>
          <xdr14:nvPr macro=""/>
          <xdr14:xfrm>
            <a:off x="12079080" y="5834160"/>
            <a:ext cx="903960" cy="2502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21DEC02-6A09-A74C-41F9-19CB115735C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2072960" y="5828040"/>
              <a:ext cx="91620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413334</xdr:colOff>
      <xdr:row>28</xdr:row>
      <xdr:rowOff>119748</xdr:rowOff>
    </xdr:from>
    <xdr:to>
      <xdr:col>13</xdr:col>
      <xdr:colOff>936774</xdr:colOff>
      <xdr:row>28</xdr:row>
      <xdr:rowOff>140988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1073C30-EB47-6E85-564E-4357E7C678A9}"/>
                </a:ext>
              </a:extLst>
            </xdr14:cNvPr>
            <xdr14:cNvContentPartPr/>
          </xdr14:nvContentPartPr>
          <xdr14:nvPr macro=""/>
          <xdr14:xfrm>
            <a:off x="14914080" y="5787360"/>
            <a:ext cx="523440" cy="212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1073C30-EB47-6E85-564E-4357E7C678A9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4907960" y="5781240"/>
              <a:ext cx="53568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67350</xdr:colOff>
      <xdr:row>28</xdr:row>
      <xdr:rowOff>32628</xdr:rowOff>
    </xdr:from>
    <xdr:to>
      <xdr:col>14</xdr:col>
      <xdr:colOff>91110</xdr:colOff>
      <xdr:row>28</xdr:row>
      <xdr:rowOff>36228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8CD5FF68-4953-159C-DE6E-7DE0096FA002}"/>
                </a:ext>
              </a:extLst>
            </xdr14:cNvPr>
            <xdr14:cNvContentPartPr/>
          </xdr14:nvContentPartPr>
          <xdr14:nvPr macro=""/>
          <xdr14:xfrm>
            <a:off x="15904440" y="5700240"/>
            <a:ext cx="23760" cy="36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8CD5FF68-4953-159C-DE6E-7DE0096FA002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5898320" y="5694120"/>
              <a:ext cx="36000" cy="1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1335480</xdr:colOff>
      <xdr:row>2</xdr:row>
      <xdr:rowOff>133640</xdr:rowOff>
    </xdr:from>
    <xdr:to>
      <xdr:col>5</xdr:col>
      <xdr:colOff>1422600</xdr:colOff>
      <xdr:row>3</xdr:row>
      <xdr:rowOff>81280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0FE677B-9658-34F3-57EA-2B86F34E50F8}"/>
                </a:ext>
              </a:extLst>
            </xdr14:cNvPr>
            <xdr14:cNvContentPartPr/>
          </xdr14:nvContentPartPr>
          <xdr14:nvPr macro=""/>
          <xdr14:xfrm>
            <a:off x="8528760" y="580680"/>
            <a:ext cx="87120" cy="150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0FE677B-9658-34F3-57EA-2B86F34E50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22640" y="574560"/>
              <a:ext cx="9936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984480</xdr:colOff>
      <xdr:row>3</xdr:row>
      <xdr:rowOff>194320</xdr:rowOff>
    </xdr:from>
    <xdr:to>
      <xdr:col>5</xdr:col>
      <xdr:colOff>1286520</xdr:colOff>
      <xdr:row>4</xdr:row>
      <xdr:rowOff>151320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D06D9D8-D9DA-A2B5-E74E-5C3B2AC4AD00}"/>
                </a:ext>
              </a:extLst>
            </xdr14:cNvPr>
            <xdr14:cNvContentPartPr/>
          </xdr14:nvContentPartPr>
          <xdr14:nvPr macro=""/>
          <xdr14:xfrm>
            <a:off x="8177760" y="844560"/>
            <a:ext cx="302040" cy="1602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D06D9D8-D9DA-A2B5-E74E-5C3B2AC4AD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171640" y="838440"/>
              <a:ext cx="3142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241880</xdr:colOff>
      <xdr:row>2</xdr:row>
      <xdr:rowOff>53720</xdr:rowOff>
    </xdr:from>
    <xdr:to>
      <xdr:col>6</xdr:col>
      <xdr:colOff>746240</xdr:colOff>
      <xdr:row>4</xdr:row>
      <xdr:rowOff>28560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DA71E1D-606A-51B8-4779-17FA738B83AA}"/>
                </a:ext>
              </a:extLst>
            </xdr14:cNvPr>
            <xdr14:cNvContentPartPr/>
          </xdr14:nvContentPartPr>
          <xdr14:nvPr macro=""/>
          <xdr14:xfrm>
            <a:off x="8888040" y="500760"/>
            <a:ext cx="504360" cy="3812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CDA71E1D-606A-51B8-4779-17FA738B83A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81916" y="494640"/>
              <a:ext cx="516609" cy="39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196240</xdr:colOff>
      <xdr:row>2</xdr:row>
      <xdr:rowOff>93680</xdr:rowOff>
    </xdr:from>
    <xdr:to>
      <xdr:col>11</xdr:col>
      <xdr:colOff>63400</xdr:colOff>
      <xdr:row>4</xdr:row>
      <xdr:rowOff>108480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CE959BB-8077-955C-F6AC-36A78891DAEF}"/>
                </a:ext>
              </a:extLst>
            </xdr14:cNvPr>
            <xdr14:cNvContentPartPr/>
          </xdr14:nvContentPartPr>
          <xdr14:nvPr macro=""/>
          <xdr14:xfrm>
            <a:off x="11941200" y="540720"/>
            <a:ext cx="1513080" cy="4212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CE959BB-8077-955C-F6AC-36A78891DAE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935080" y="534600"/>
              <a:ext cx="1525320" cy="43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732240</xdr:colOff>
      <xdr:row>27</xdr:row>
      <xdr:rowOff>166920</xdr:rowOff>
    </xdr:from>
    <xdr:to>
      <xdr:col>6</xdr:col>
      <xdr:colOff>164480</xdr:colOff>
      <xdr:row>35</xdr:row>
      <xdr:rowOff>137200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3FC22F0-C2EB-5695-F4B5-1A0CF408F3E1}"/>
                </a:ext>
              </a:extLst>
            </xdr14:cNvPr>
            <xdr14:cNvContentPartPr/>
          </xdr14:nvContentPartPr>
          <xdr14:nvPr macro=""/>
          <xdr14:xfrm>
            <a:off x="732240" y="5714280"/>
            <a:ext cx="8078400" cy="1595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E3FC22F0-C2EB-5695-F4B5-1A0CF408F3E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26112" y="5708274"/>
              <a:ext cx="8090655" cy="1607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414000</xdr:colOff>
      <xdr:row>37</xdr:row>
      <xdr:rowOff>15200</xdr:rowOff>
    </xdr:from>
    <xdr:to>
      <xdr:col>1</xdr:col>
      <xdr:colOff>586800</xdr:colOff>
      <xdr:row>37</xdr:row>
      <xdr:rowOff>142640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E0ABA2F3-AE9B-1D4F-7218-A162A743DC45}"/>
                </a:ext>
              </a:extLst>
            </xdr14:cNvPr>
            <xdr14:cNvContentPartPr/>
          </xdr14:nvContentPartPr>
          <xdr14:nvPr macro=""/>
          <xdr14:xfrm>
            <a:off x="1236960" y="7594560"/>
            <a:ext cx="172800" cy="1274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E0ABA2F3-AE9B-1D4F-7218-A162A743DC4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30840" y="7588440"/>
              <a:ext cx="18504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683640</xdr:colOff>
      <xdr:row>34</xdr:row>
      <xdr:rowOff>122240</xdr:rowOff>
    </xdr:from>
    <xdr:to>
      <xdr:col>6</xdr:col>
      <xdr:colOff>385160</xdr:colOff>
      <xdr:row>39</xdr:row>
      <xdr:rowOff>103800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304CB73-EE58-5974-3E81-1F9A8EAA1108}"/>
                </a:ext>
              </a:extLst>
            </xdr14:cNvPr>
            <xdr14:cNvContentPartPr/>
          </xdr14:nvContentPartPr>
          <xdr14:nvPr macro=""/>
          <xdr14:xfrm>
            <a:off x="1506600" y="7092000"/>
            <a:ext cx="7524720" cy="9975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304CB73-EE58-5974-3E81-1F9A8EAA110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500468" y="7085995"/>
              <a:ext cx="7536984" cy="10095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295560</xdr:colOff>
      <xdr:row>4</xdr:row>
      <xdr:rowOff>99288</xdr:rowOff>
    </xdr:from>
    <xdr:to>
      <xdr:col>1</xdr:col>
      <xdr:colOff>180663</xdr:colOff>
      <xdr:row>16</xdr:row>
      <xdr:rowOff>147718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D98958B-23E2-DE10-FDBC-F122A6965BF0}"/>
                </a:ext>
              </a:extLst>
            </xdr14:cNvPr>
            <xdr14:cNvContentPartPr/>
          </xdr14:nvContentPartPr>
          <xdr14:nvPr macro=""/>
          <xdr14:xfrm>
            <a:off x="295560" y="955800"/>
            <a:ext cx="712080" cy="2529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D98958B-23E2-DE10-FDBC-F122A6965BF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89449" y="949687"/>
              <a:ext cx="724301" cy="25415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1748103</xdr:colOff>
      <xdr:row>7</xdr:row>
      <xdr:rowOff>184296</xdr:rowOff>
    </xdr:from>
    <xdr:to>
      <xdr:col>1</xdr:col>
      <xdr:colOff>2438583</xdr:colOff>
      <xdr:row>8</xdr:row>
      <xdr:rowOff>40912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8EDF426-0244-6407-5ABC-FD8392DD3A25}"/>
                </a:ext>
              </a:extLst>
            </xdr14:cNvPr>
            <xdr14:cNvContentPartPr/>
          </xdr14:nvContentPartPr>
          <xdr14:nvPr macro=""/>
          <xdr14:xfrm>
            <a:off x="2575080" y="1661040"/>
            <a:ext cx="690480" cy="633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8EDF426-0244-6407-5ABC-FD8392DD3A2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68960" y="1654920"/>
              <a:ext cx="702720" cy="7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1977063</xdr:colOff>
      <xdr:row>11</xdr:row>
      <xdr:rowOff>119439</xdr:rowOff>
    </xdr:from>
    <xdr:to>
      <xdr:col>2</xdr:col>
      <xdr:colOff>51899</xdr:colOff>
      <xdr:row>11</xdr:row>
      <xdr:rowOff>147879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E3A0D97-5025-A6DB-ACC9-4C121F9632AF}"/>
                </a:ext>
              </a:extLst>
            </xdr14:cNvPr>
            <xdr14:cNvContentPartPr/>
          </xdr14:nvContentPartPr>
          <xdr14:nvPr macro=""/>
          <xdr14:xfrm>
            <a:off x="2804040" y="2423160"/>
            <a:ext cx="703440" cy="284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E3A0D97-5025-A6DB-ACC9-4C121F9632A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797920" y="2417040"/>
              <a:ext cx="71568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401819</xdr:colOff>
      <xdr:row>14</xdr:row>
      <xdr:rowOff>92487</xdr:rowOff>
    </xdr:from>
    <xdr:to>
      <xdr:col>3</xdr:col>
      <xdr:colOff>697823</xdr:colOff>
      <xdr:row>14</xdr:row>
      <xdr:rowOff>96447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966A19F-9974-B7DD-1F07-F56137137D15}"/>
                </a:ext>
              </a:extLst>
            </xdr14:cNvPr>
            <xdr14:cNvContentPartPr/>
          </xdr14:nvContentPartPr>
          <xdr14:nvPr macro=""/>
          <xdr14:xfrm>
            <a:off x="3857400" y="3016440"/>
            <a:ext cx="842400" cy="39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966A19F-9974-B7DD-1F07-F56137137D1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851280" y="3010320"/>
              <a:ext cx="854640" cy="16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26:55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3051 24575,'-2'-20'0,"0"-18"0,2-39 0,0 1 0,0-13-1713,0 14 1,1-6-1,-2-9 1713,-1 9 0,-1-8 0,0-4 0,-1-2 0,0 0-306,1 9 1,-1-2 0,1 0 0,-1-2 0,0 2 0,0 0 305,-1 4 0,1-1 0,-1 1 0,1 0 0,-1 2 0,0 2 0,0-9 0,0 1 0,0 1 0,0 6 0,1 7 493,0-5 1,2 9 0,0 5-494,-1-4 0,2 10 0,7 1 0,12 39 2329,21 11-2329,49-6 0,-6 1 0,13-1-1025,-8 2 1,9 1 0,6 0 1024,-25 4 0,4-1 0,3 1 0,2 0 0,3 0-787,0 1 0,2 0 1,3 1-1,2 0 1,4 0-1,2 1 787,-16 1 0,2 0 0,3 0 0,1 1 0,2 0 0,2 0 0,0 0 0,0 1 0,0-1-316,-3 0 0,1 0 1,0 1-1,1-1 1,0 1-1,2 0 1,1-1-1,1 1 1,1 0-1,2 1 316,-12-1 0,2 0 0,1 1 0,1-1 0,1 1 0,1 0 0,0 0 0,1-1 0,1 1 0,-1 1 0,0-1 0,0 0 0,0 1-163,1-1 1,1 1 0,0-1-1,1 1 1,-1 0 0,1 0-1,0 0 1,0 0 0,-1 0-1,1 1 1,0 0 0,0 0-1,-1 0 163,1 1 0,-1 0 0,0 0 0,0 0 0,0 1 0,0-1 0,1 1 0,-1 0 0,0 1 0,1-1 0,0 1 0,0 0 0,1 0-12,-4 0 0,1 1 0,1-1 1,0 1-1,1 0 0,0 0 0,-1 1 1,1-1-1,-1 1 0,-1 0 0,0 0 1,-2 1-1,0-1 0,-2 1 12,5 0 0,-1 1 0,-1-1 0,0 2 0,-2-1 0,0 0 0,0 1 0,-1 0 0,-1-1 0,0 1 0,-1 0 0,0-1 0,2 1 0,-1 0 0,1-1 0,-2 1 0,0 0 0,0 0 0,-1 0 0,-2 0 0,0 0 0,-2-1 0,-1 1 0,17 2 0,-2 0 0,0 0 0,-2 0 0,-2 0 0,-2 0 0,-3-1 0,-1 0 0,7 1 0,-3 0 0,-2 0 0,-3-1 0,-1 1 0,-2-1 0,3 0 0,-2 0 0,-2 0 0,-3-1 0,0 1 221,7 0 0,-1 1 0,-4-1 1,-4-1-222,3 0 0,-5-1 0,-2 0 583,-7-1 0,-3-1 1,-2 1-584,20 1 0,-6 0 1600,-19-2 0,-4-2-1600,24 3 4920,-32-4-4920,-19-3 3412,-13-4-3412,-8 3 1946,-3 17-1946,-4 21 0,-1 35 0,0-12 0,0 8-1427,0 24 1,0 7 1426,0-24 0,0 2 0,0 2 0,1 8 0,-1 2 0,2-2 0,-1-8 0,1 0 0,0-5-715,1 20 0,1-6 715,1-11 0,1-4-235,-1-15 0,1-3 235,0-3 0,-1-2 0,2 0 0,-1-1 0,4 32 0,-3-24 2781,-4-22-2781,-10-23 1638,-9-9-1638,-12-2 605,-16 2-605,-18 3 0,-26 4 0,32-4 0,-6 0-1563,-21 1 0,-8 1 1563,15-3 0,-3 0 0,-7-1-1438,3-1 1,-6 0 0,-3 0 0,-4-1 1437,3-1 0,-2 1 0,-4-1 0,-2 0 0,-2 0-550,20-1 1,-2 0 0,-2-1 0,0 1 0,-2-1 0,1 0 0,-1 0 549,-2 0 0,-1-1 0,-1 1 0,0-1 0,0 1 0,0-1 0,-1-1-368,1 0 1,-1 0 0,0 0 0,0-1 0,0 0 0,0 0-1,0 0 368,0-1 0,0 0 0,0-1 0,0 0 0,1 0 0,0 0 0,2 0-183,-10-1 1,1 0 0,1 0 0,0-1-1,1 0 1,-1 1 182,0-1 0,0 0 0,0 0 0,1 0 0,0 0 0,2 0 0,7 2 0,0-1 0,1 0 0,1 1 0,2 0 0,1 0 0,-5 0 0,1 0 0,2 1 0,2 0 0,0 0 182,-14 0 1,1 0 0,2 0-1,4 1-182,-8 1 0,4 0 0,5 0 546,15 1 0,4 0 1,2 0-547,-22 0 0,6 1 1442,20-1 0,5 1-1442,8-1 0,3 2 4631,-31 3-4631,15 7 3763,7 4-3763,9 3 2063,14-4-2063,8-3 674,7-2-674,1-1 0,1-1 0,-8-2 0,-20-2 0,-31-2 0,14-1 0,-8 0-1274,7 0 1,-5 0-1,-3 0 1274,-18 0 0,-4 0 0,-4 0-1233,13 0 0,-3 0 1,-3 0-1,0 0 1233,11 0 0,-2-1 0,-1 1 0,0-1 0,1 0 0,0 1 0,0-1 0,0 0 0,1 0 0,-1 0 0,1 1 0,-1-1 0,1 0 0,-1 0 0,1 0 0,-19 0 0,1 0 0,0 0 0,1 0-784,4 0 0,1 1 0,1 0 0,-1-1 784,-1 1 0,1 0 0,-1 0 0,2 0-475,5 0 0,1-1 1,1 1-1,1 0 475,6 0 0,1 0 0,1 0 0,2 0 118,-14 0 0,2 1 1,3 0-119,9 0 0,1 0 0,3 1 1001,-25 1 0,3 0-1001,7 2 0,1 0 0,1 0 0,2 0 0,6 1 0,3-1 1508,9 1 0,4-1-1508,-36 3 3422,18-1-3422,20-2 2594,17-2-2594,17 1 0,15-3 0,7 0 0</inkml:trace>
  <inkml:trace contextRef="#ctx0" brushRef="#br0" timeOffset="1017">6358 1639 24575,'14'0'0,"3"0"0,-1 0 0,2 0 0,-2 0 0,-1 1 0,-2 1 0,-5 3 0,-3 4 0,-3 2 0,-1 6 0,0 5 0,-3 3 0,-3 3 0,-4-2 0,-3 1 0,-1 0 0,-4 2 0,2-2 0,-1-3 0,3-3 0,12-9 0,10-4 0,16-4 0,13-5 0,5-1 0,5 0 0,1-2 0,-1 0 0,0 0 0,-5 1 0,-7 2 0,-7 0 0,-8 0 0,-5 0 0,-4-1 0,-6-1 0,-2 1 0,-4 0 0</inkml:trace>
  <inkml:trace contextRef="#ctx0" brushRef="#br0" timeOffset="1693">7238 1597 24575,'-5'-3'0,"-1"1"0,-2 2 0,-1 2 0,-2 7 0,2 4 0,2 6 0,2 4 0,3-3 0,1 3 0,1 0 0,0-2 0,0-3 0,0-3 0,-1-4 0,0-4 0,2-1 0,4-3 0,8-1 0,8-2 0,11 0 0,8 3 0,3 4 0,-8 1 0,-9 2 0,-12-1 0,-5-1 0,-1 0 0,-3-1 0,-2 0 0,-1 0 0,-4-1 0,-2 0 0,-5 1 0,-3-1 0,-2 0 0,5-3 0,2-1 0</inkml:trace>
  <inkml:trace contextRef="#ctx0" brushRef="#br0" timeOffset="2168">7316 1542 24575,'25'0'0,"5"0"0,12 0 0,4 0 0,2 0 0,1 0 0,-3 0 0,-6 0 0,-7 0 0,-16 0 0,-8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27:01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1 24575,'4'0'0,"1"0"0,-1 0 0,-2 0 0,-7 0 0,-5 1 0,-11 3 0,-1 6 0,-2 6 0,2 4 0,2 4 0,4 2 0,3 2 0,3 5 0,2 1 0,3 4 0,4-1 0,0 1 0,1-1 0,4-9 0,6-5 0,4-11 0,3-7 0,-2-3 0,-1-2 0,2 0 0,0 0 0,0 0 0,0 0 0,0 0 0,-1-1 0,0-2 0,-3-1 0,-1-3 0,0-1 0,-2-2 0,-1 0 0,-2-2 0,0 0 0,-1 0 0,-2 1 0,-1 1 0,-1 1 0,-6 2 0,-5 2 0,-5 1 0,-7 2 0,-1 2 0,-4-1 0,1 1 0,1 0 0,2 0 0,3 0 0,1 0 0,4 1 0,3 2 0,3 3 0,4-1 0,3-5 0,2-6 0,1 1 0,0 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27:05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327 3138 24575,'0'-7'0,"0"-4"0,0-13 0,0-24 0,0-45-1110,0 31 0,0-3 1110,0-13 0,0-2 0,0 0 0,0 0 0,0 3 0,0 2 0,0-1 0,0 2 0,0 5 0,0 1-221,-1-1 1,0 0 220,-1 7 0,-1 2 0,-2 3 0,-1 1-232,-1 4 0,-2 2 232,-1-2 0,-2 1 0,1 2 0,-1 0 0,0 0 0,-1-1 0,-1-1 0,1 0 0,-2 0 0,1-1 0,-4-8 0,-1-2 0,2 0 0,0 0 0,1 0 0,-1 2 779,2 3 1,2 2-780,-6-28 1032,7 21-1032,9 28 534,8 19-534,7 8 0,12 1 0,22-3 0,25 0 0,27-2-915,-35 6 0,4 1 915,10-1 0,5 0 0,12 1 0,6-1-1390,-19 1 1,4 1 0,2-1 1389,-13 0 0,3 0 0,1-1 0,2 0-982,7 0 0,3-1 1,1 0-1,1-1 982,-11 1 0,1 0 0,1 0 0,1-1 0,0 0-700,3-1 1,1 0 0,0 0 0,1 0 0,1-1 699,6 0 0,2 0 0,0 0 0,0-1 0,2 1-313,-13 0 1,1 1-1,0-1 1,1 1-1,1 0 1,-1 0 312,3 0 0,0 0 0,0 0 0,1 0 0,-1 1 0,2 0-120,0 0 0,2 1 0,0 0 0,0 0 0,-2 0 0,0 1 120,-7 0 0,-1 1 0,0 0 0,-2 1 0,0-1 0,-1 1-1,11 0 0,-1 1 1,-1-1-1,-2 1 1,-2 0 0,8 1 0,-2-1 0,-3 1 0,-2 0 354,14 0 0,-4 0 0,-3 1-354,-11 0 0,-2 0 0,-4 0 1022,17 1 0,-6 1-1022,-10 0 0,-5 1 1776,-18 0 1,-4 1-1777,37 2 4149,-31-1-4149,-23 0 3173,-14 0-3173,-12 1 1684,-5 1-1684,-4 7 354,-7 14-354,-9 48 0,9-18 0,1 11 0,1 5 0,0 1 0,1 6 0,0 3 0,2-1-984,0 2 0,2 1 0,0-1 0,1-1 984,0-5 0,1 0 0,0-2 0,2-5 0,0 2 0,1-5 0,0-5-492,4 5 1,0-2 491,-1 3 0,-1-1-213,0-10 1,0-3 212,5 36 0,-2-23 0,-3-20 3601,-3-16-3601,-1-11 1184,-2-7-1184,-1-3 559,0-2-559,-1 2 0,-2 2 0,-8 3 0,-12 5 0,-19 3 0,-26 0 0,11-12 0,-8-2-1587,-20 0 0,-10-2 1587,16-4 0,-6 0 0,-6-2-1427,0 0 1,-6 0-1,-3-1 1,-1 0 1426,14-1 0,-1-1 0,-2 1 0,0-1 0,-3 1-641,8-1 1,-1 0 0,-2 1-1,-1-1 1,0 0 0,0 0 640,-6 1 0,0-1 0,-1 1 0,-1 0 0,0-1 0,1 1-429,-2 0 1,1 0 0,-1 1-1,0-1 1,-1 1 0,-1 0 428,10-1 0,0 1 0,-2 0 0,0 1 0,0-1 0,0 1 0,1 0-155,-1 0 0,0 1 1,0 0-1,0 0 1,0 0-1,2 0 1,0 1 154,-6 0 0,0 0 0,1 0 0,2 1 0,-1 0 0,1 0-2,2 0 0,1 1 1,-1-1-1,2 1 1,1 0-1,3 0 2,-5 1 0,1-1 0,3 1 0,2 0 0,2-1 434,-5 1 0,2 0 0,2 0 1,2-1-435,-17 3 0,2 0 0,10-1 481,5 2 1,10-1-1,16-4 1,8 0-1,2 2 1</inkml:trace>
  <inkml:trace contextRef="#ctx0" brushRef="#br0" timeOffset="1640">8225 2398 24575,'-14'-97'0,"1"-1"0,3 18 0,1 2 0,0-9 0,1 4 0,4 23 0,1 8 0,3 4 0,-1-5 0,0 21 0,1 6 0,-1 0 0,-1-3 0,-1-1 0,-4-25 0,-3-6 0,-4-32-497,6 40 0,0-1 497,-1-3 0,-1-1 0,1-4 0,-1 0 0,1 5 0,-2-1 0,0-4 0,-2 0 0,1 4 0,0 1 0,0 3 0,1 1-130,-1 1 1,0 2 129,-7-36 0,5 11 0,2 10 0,9 25 0,2 16 980,6 16-980,7 6 273,12 2-273,27 0 0,38 0 0,-21 0 0,8 0-1219,-10 0 1,5 0-1,4 0 1219,15 0 0,4 0 0,4 0-1248,-13 0 1,1 0 0,3 0 0,2 0 1247,-10 0 0,2 0 0,1 0 0,0 0 0,0 0 0,1 0 0,1 0 0,-1 0 0,1 0 0,0 0 0,1 0 0,1 0 0,0 0 0,0 0 0,-1 0 0,0 0 0,0 0 0,-1 0 0,0 0 0,0 0 0,-3 0 0,1 0 0,-1 0 0,-1 0 0,0 0 0,17 0 0,-1 0 0,-1 0 0,-1 0-557,-8 0 0,-1 0 0,-2 0 0,-2 0 557,12 0 0,-2 0 0,-5 0-357,-13 0 0,-4 0 0,-1 0 357,23 0 0,-4 0 690,-19-1 0,-5 0-690,-7 0 0,-3-1 4180,23-2-4180,-25-1 3269,-21 1-3269,-13 2 2178,-7 6-2178,-6 10 937,-1 21-937,3 28 0,2-11 0,3 9 0,5 6 0,3 8 0,3 5-714,2 4 0,2 6 0,3 5 0,-1 0 714,-2-10 0,0 2 0,2 2 0,-1 0 0,0-1 0,0-1 0,0 0 0,0 0 0,0-2 0,-2-3 0,3 5 0,-1-1 0,-1-5 0,-3-7 0,7 21 0,-4-14 0,5 13 0,-19-52 0,-9-28 0,-1 2 0,-12-7 0,-15-2 2856,-29-3-2856,-39-2 0,17-2 0,-8-1-1361,11 0 1,-4 0-1,-4-1 1361,-16-2 0,-4 1 0,-4-2-1214,15 2 1,-2-1-1,-2-1 1,-2 1 1213,14 0 0,0 0 0,-2 0 0,-1-1 0,-1 1-765,-6-2 0,-2 1 0,0 0 1,-2-1-1,1 1 765,-5-1 0,-1 0 0,-1 1 0,1-1 0,1 1 0,2 0 0,1 0 0,0-1 0,1 2 0,0-1 0,2 1 0,1 0 0,0 0 0,1 1 0,1 0-411,5 0 1,0 1 0,1 0-1,1 0 1,2 1 410,-9-1 0,2 1 0,2 0 0,0 0 30,5 1 1,0-1-1,2 1 1,2 1-31,-13 1 0,4 2 0,3 0 848,-17 4 1,5 2-849,10 1 0,4 3 1696,18 0 0,5 1-1696,-31 12 3939,15-2-3939,22-4 3298,13-6-3298,14-4 1785,8-2-1785,3-4 0,7-1 0,1-3 0</inkml:trace>
  <inkml:trace contextRef="#ctx0" brushRef="#br0" timeOffset="2273">849 1420 24575,'5'20'0,"3"9"0,6 22 0,9 17 0,-6-22 0,3 4 0,4 8 0,3 2-1708,2 2 0,0 1 1708,-1-4 0,-1-1 0,-1-7 0,-2-3 1070,14 31-1070,-9-18 140,-3-11 0,-16-29 0,-2-7 0</inkml:trace>
  <inkml:trace contextRef="#ctx0" brushRef="#br0" timeOffset="2907">2899 1877 24575,'5'20'0,"-3"4"0,-11 12 0,-11 2 0,-4 1 0,0-11 0,11-15 0,7-12 0,5-3 0,1-2 0</inkml:trace>
  <inkml:trace contextRef="#ctx0" brushRef="#br0" timeOffset="3623">1674 1483 24575,'22'0'0,"0"0"0,12 0 0,5 0 0,12 0 0,0 0 0,-2 0 0,-4 0 0,-10 0 0,-3 0 0,-10 1 0,-8 1 0,-6 4 0,-4 2 0,-3 6 0,-5 10 0,-9 18 0,-6 15 0,-8 8 0,2-4 0,10-20 0,5-15 0,8-13 0,4-6 0,5-2 0,8-3 0,10-4 0,12-5 0,5-4 0,5-3 0,2-1 0,-1 1 0,-1-1 0,-3 2 0,-6 1 0,-6 1 0,-6 0 0,-12 5 0,-6 1 0</inkml:trace>
  <inkml:trace contextRef="#ctx0" brushRef="#br0" timeOffset="4624">2775 1480 24575,'-10'0'0,"0"0"0,-1 0 0,-4 0 0,-6-1 0,-2-3 0,-2-3 0,3-3 0,3-2 0,3 1 0,6 1 0,3-1 0,3 1 0,2 1 0,2 2 0,7 0 0,6 1 0,7 2 0,5 2 0,2 1 0,5 0 0,3 1 0,2 0 0,1 7 0,-4 9 0,-8 14 0,-9 12 0,-16 5 0,-6-4 0,-6-6 0,-1-10 0,2-5 0,0 1 0,2-3 0,1-1 0,2-2 0,1-2 0,2-2 0,1-2 0,0-2 0,0-1 0,1-2 0,2 0 0,1-3 0,3 0 0,3-3 0,3 0 0,1-3 0,2-2 0,-2-4 0,1 0 0,-1-2 0,-3 1 0,0 0 0,-3-1 0,-1-3 0,-2-4 0,-2-5 0,-2-8 0,-12-8 0,-12-1 0,-11 5 0,-4 12 0,6 12 0,12 7 0,8 3 0,8 1 0,4 0 0</inkml:trace>
  <inkml:trace contextRef="#ctx0" brushRef="#br0" timeOffset="5282">10043 693 18066,'0'21'0,"0"-4"2944,0 1-2944,0 1 1113,0 18-1113,0 34 292,0-22 0,0 4-292,0 4 0,0 1 1868,0 41-1868,0-39 0,0-36 0,0-26 0,0-4 0,0-1 0</inkml:trace>
  <inkml:trace contextRef="#ctx0" brushRef="#br0" timeOffset="5924">10463 817 24575,'13'0'0,"5"0"0,18 0 0,11 0 0,5 1 0,0 2 0,-9 2 0,-5 5 0,-5 2 0,-9 1 0,-9 1 0,-6-2 0,-5 0 0,-1-2 0,-5 0 0,-2 0 0,-5 0 0,-4 1 0,-1 2 0,-2 0 0,2 0 0,3-1 0,3-1 0,3-2 0,1-1 0,3-2 0,5-1 0,7-2 0,13-2 0,13 0 0,25-1 0,19 0 0,6 0 0,-8 0 0,-39 0 0,-17 0 0</inkml:trace>
  <inkml:trace contextRef="#ctx0" brushRef="#br0" timeOffset="6666">11552 752 20755,'0'-10'0,"-1"5"1811,-6 0-1811,-8 7 647,-4 9-647,4 5 332,6 7-332,7 3 1030,2-2-1030,0 2 0,0-1 0,0-2 0,-1-2 0,1-3 0,0-2 0,0-4 0,0-1 0,0-3 0,1-2 0,1-1 0,3-3 0,3-1 0,4-1 0,4 0 0,3 1 0,1-2 0,0-1 0,1-1 0,-3-2 0,1-3 0,-4-1 0,0-2 0,-2-2 0,-2-1 0,-2-3 0,-1 0 0,-2-2 0,-2-2 0,-7 1 0,-11 0 0,-11 2 0,-8 4 0,3 2 0,12 5 0,9 4 0</inkml:trace>
  <inkml:trace contextRef="#ctx0" brushRef="#br0" timeOffset="7590">11558 1081 24575,'-7'24'0,"3"-4"0,1 1 0,2-5 0,1 1 0,0-4 0,-1-1 0,1-1 0,0-2 0,0-1 0,0-1 0,0-1 0,1-1 0,2-2 0,3-1 0,6-5 0,1-1 0,8-6 0,5-6 0,3-1 0,1-1 0,-10 5 0,-8 5 0,-6 2 0,-2 1 0,-1-4 0,0-3 0,-1-4 0,-1-5 0,-4-5 0,-5-2 0,-4-1 0,-6 2 0,-1 5 0,-1 4 0,0 6 0,1 4 0,1 5 0,2 1 0,2 2 0,2 4 0,2 4 0,2 2 0,2-1 0,1 0 0,2-5 0,2 0 0,1-4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27:19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1 24575,'2'5'0,"0"2"0,-2 2 0,0 0 0,0 2 0,0 0 0,0 2 0,0 0 0,0 2 0,0 3 0,0 3 0,0 2 0,0 3 0,0 4 0,0 2 0,0 2 0,0-3 0,0-5 0,0-5 0,0-6 0,0-3 0,0-3 0,0-5 0,-3-9 0,-18-16 0,-19-8 0,-16-1 0,-3 7 0,19 12 0,15 6 0,13 4 0,6 2 0,0 2 0,6 1 0,5 2 0,5 1 0,2 2 0,2 0 0,-1-1 0,-1 0 0,-1 0 0,-2-1 0,-1 0 0,-1-1 0,-1 0 0,-1-1 0,1-2 0,0 0 0,1-1 0,2-1 0,3-1 0,3-1 0,5-2 0,3-4 0,0-2 0,3-3 0,2-4 0,1-2 0,0-2 0,-8 3 0,-6 4 0,-4 2 0,-5 3 0,1 2 0,-2 2 0,-1 1 0,1 1 0,0 0 0,0 1 0,0 0 0,1 1 0,-3 0 0,-1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28:0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 3 24575,'0'-3'0,"0"6"0,0 4 0,0 6 0,0 7 0,0 8 0,0 11 0,0 11 0,0 7 0,4 17 0,4 8 0,5 1 0,0-14 0,-4-30 0,-6-25 0,-13-20 0,-10-8 0,-6-1 0,-6 0 0,2 3 0,-1 1 0,2 3 0,12 3 0,6 2 0</inkml:trace>
  <inkml:trace contextRef="#ctx0" brushRef="#br0" timeOffset="767">1 592 24575,'4'5'0,"1"-2"0,3-3 0,1 0 0,0 0 0,1 0 0,0 0 0,1 0 0,1-4 0,7-8 0,14-14 0,10-11 0,5-4 0,-1 0 0,-3 3 0,-2 1 0,-4 3 0,-6 4 0,-9 8 0,-6 8 0,-7 5 0,-4 5 0,-3 5 0,-2 3 0,-1 4 0,0 0 0,0-3 0,-2-2 0,0-1 0,-1 0 0,0 0 0,0-1 0,-1 1 0,-2-2 0,1 1 0,-2-2 0,1-4 0,-1-2 0,4 1 0,0 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28:11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 24575,'8'0'0,"6"0"0,5 0 0,10 0 0,10 0 0,10 1 0,7 5 0,-3 3 0,-8 3 0,-10 2 0,-8-2 0,-4 3 0,-8 0 0,-5 1 0,-7 0 0,-1 1 0,-2 1 0,-3 3 0,-8 4 0,-6-1 0,-3-4 0,5-5 0,8-8 0,7-4 0,5-3 0,6-5 0,5 0 0,3-3 0,1 1 0,1-1 0,-2 2 0,-2 0 0,-2 2 0,-3-1 0,-6 2 0,-2 1 0</inkml:trace>
  <inkml:trace contextRef="#ctx0" brushRef="#br0" timeOffset="1101">739 5 24575,'-6'0'0,"0"0"0,-1 0 0,2 0 0,1 0 0,2 0 0,6 0 0,10 0 0,12 0 0,8 0 0,6 0 0,-1 0 0,-5 2 0,-6 3 0,-8 4 0,-4 5 0,-6 4 0,-5 3 0,-2 1 0,-4 2 0,-3-1 0,-3 1 0,-7 2 0,-1-2 0,-3 1 0,0 1 0,4-1 0,4 1 0,5-7 0,4-5 0,1-6 0,0-3 0,0 1 0,3-3 0,1 0 0,3-1 0,1-2 0,1 0 0,0 0 0,1 0 0,0-2 0,-2 0 0,-1 0 0,-1 0 0,-1 0 0,-2 0 0,-1-1 0,-2-2 0,-4-3 0,-4-2 0,-5-3 0,-3-2 0,-1 0 0,-1 0 0,2 2 0,0 1 0,0 0 0,0 0 0,0-4 0,-3-5 0,-1-6 0,1-4 0,4 4 0,5 9 0,5 8 0,2 5 0,1 1 0,1 0 0,0-2 0,1-1 0,0 0 0,0-3 0,0 2 0,0-1 0,0 2 0,-1 2 0,2 0 0,1 1 0,-1 2 0,1 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4:39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24575,'7'0'0,"3"0"0,4 0 0,2 0 0,3 0 0,-2 0 0,1 1 0,-3 1 0,-4 3 0,-2 7 0,-1 8 0,-3 7 0,0 11 0,-3 6 0,0 10 0,-2 7 0,1 5 0,-1 2 0,-2-8 0,-1-7 0,-2-10 0,-2-8 0,1-5 0,-1-8 0,2-7 0,0-6 0,4-3 0,13-10 0,26-11 0,35-12 0,-26 11 0,2 0 0,3 2 0,-2 1 0,28-5 0,-28 10 0,-20 4 0,-17 3 0,2 0 0,-6 0 0,-4 1 0,-2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4:42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24575,'0'8'0,"0"5"0,0 4 0,0 0 0,0-3 0,0-5 0,0-2 0,0 0 0,0-1 0,0 0 0,0-1 0,1-3 0,1-2 0,1-4 0,1-3 0,2-1 0,0-2 0,1 1 0,0-1 0,0 1 0,-1 3 0,1 2 0,0 1 0,3 1 0,0 0 0,4 2 0,8-1 0,6 2 0,5 3 0,-5 1 0,-10 1 0,-7-2 0,-5-1 0,-1 1 0,-1 1 0,-1 0 0,-1 2 0,-1 0 0,-1 2 0,-2-1 0,-2 0 0,-3 0 0,-2-1 0,-2 0 0,-1-2 0,0 1 0,-1-1 0,-1 1 0,-1-1 0,1 0 0,1 0 0,0-1 0,0-1 0,2-1 0,0-2 0,1 1 0,1-1 0,0 0 0,0 0 0,1 0 0,1 0 0,0 0 0,1 0 0,0 1 0,-1 0 0,1-3 0,2-7 0,3-9 0,1-6 0,0 9 0,0 3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4:43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24575,'0'13'0,"0"6"0,0 10 0,0-3 0,0-6 0,0-5 0,0 0 0,0-2 0,0-2 0,0-2 0,0-1 0,0 0 0,0 0 0,0-1 0,0 0 0,0-1 0,0-1 0,0 0 0,0-1 0,2-1 0,1-2 0,1 0 0,-1-1 0,-1 0 0,0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4:43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24575,'12'0'0,"11"0"0,6 0 0,3 0 0,-4 0 0,-3 0 0,3 0 0,-2 0 0,-3 0 0,-3 0 0,-10 0 0,-2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4:51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24575,'25'0'0,"7"0"0,8 0 0,10 0 0,0 0 0,-2 0 0,-2 0 0,-10 0 0,-6 0 0,-10 0 0,-8 1 0,-5 16 0,-4 32 0,-1 3 0,-2 9 0,0 20 0,0 8 0,1-20 0,-1 3 0,1-2-584,0 24 1,1-4 583,0-19 0,2-7 0,3 28 0,0-39 0,1 6 0,-2-14 0,2-6 0,-1-8 0,0-5 1167,0-3-1167,0-3 0,1 1 0,-2 0 0,-2 0 0,-1 1 0,-2 1 0,0 0 0,-3 0 0,-4 2 0,-7 1 0,-13 0 0,-12 0 0,-11 0 0,-3-3 0,1-3 0,5-3 0,8-4 0,3-3 0,8-1 0,4-3 0,5 0 0,5-2 0,4-1 0,2-1 0,1-1 0,2 0 0,2 0 0,1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5:18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133 124 24575,'-8'-2'0,"-1"1"0,-2 0 0,-1 1 0,0 0 0,-1 0 0,0 0 0,-1 1 0,1 3 0,3 3 0,2 3 0,4 3 0,1 1 0,2 2 0,0-1 0,1-2 0,-1-1 0,2-2 0,2-2 0,4-2 0,6-1 0,5 0 0,4-1 0,3 1 0,-1-2 0,-1 1 0,-2 0 0,-5 1 0,-4 0 0,-3 0 0,-4 1 0,-1-2 0,-1 1 0,-2 1 0,-1 2 0,-4 1 0,-5 1 0,-4 0 0,-6-3 0,1-3 0,1-4 0,3-4 0,2-2 0,0-3 0,2 1 0,1 1 0,5 3 0,2 1 0</inkml:trace>
  <inkml:trace contextRef="#ctx0" brushRef="#br0" timeOffset="1151">421 66 24575,'-4'1'0,"2"3"0,0 4 0,2 2 0,0 4 0,0 1 0,0-1 0,0-1 0,0-2 0,0-1 0,0-2 0,0-3 0,0-8 0,0-7 0,0-5 0,0-5 0,0 1 0,0-2 0,0-2 0,0 0 0,0 2 0,1 7 0,0 7 0,2 5 0,1 3 0,2 2 0,1 2 0,2 3 0,1 2 0,3 5 0,4 2 0,2 3 0,4 3 0,2 0 0,1 1 0,0 0 0,1-1 0,0 0 0,-2-2 0,-2-2 0,-4-4 0,-4-3 0,-3-4 0,-2-4 0,-2-1 0,-1-3 0,-2-5 0,-1-4 0,-1-7 0,-1-4 0,-1 0 0,0 0 0,-1 1 0,0 2 0,0-2 0,1 1 0,0 0 0,2 0 0,-1 2 0,-1 2 0,0 5 0,-1 3 0,0 2 0,0 0 0,0 0 0,1-1 0,0 1 0,0 1 0,0 3 0,-1 2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5:16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71 189 24575,'-4'-3'0,"-1"1"0,-3 0 0,-1 2 0,-1 0 0,1-1 0,0 1 0,2 1 0,3 2 0,1 4 0,2 3 0,1 5 0,-1 1 0,1 2 0,0-1 0,0-2 0,0-3 0,0-3 0,1-3 0,1-3 0,7-1 0,4-2 0,9-8 0,2-12 0,-3-14 0,-5-9 0,-12 6 0,-5 13 0,-5 13 0,-4 8 0,0 3 0,1 1 0,1 2 0,3 2 0,1 4 0,1-1 0,2 0 0,0-1 0,3-2 0,3-1 0,6-2 0,6-1 0,5-2 0,3-4 0,2-4 0,0-6 0,1-2 0,-3-3 0,-3-1 0,-5 2 0,-4 2 0,-5 4 0,-3 2 0,-2 1 0,-1 2 0,-4 2 0,-4 0 0,-4 2 0,-5 1 0,0 1 0,-2 2 0,-1 10 0,3 16 0,3 33 0,8-6 0,3 4 0,-1 5 0,2 0-457,1 7 0,2 0 457,0-5 0,2-3 0,7 35 0,4 0 0,2-13 0,-1-9 0,0-8 0,-2-14 0,-3-12 0,-3-11 0,-2-11 0,-1-7 914,-2-9-914,-1-5 0,0-7 0,-2-3 0,-1-1 0,1-1 0,-1 0 0,0 1 0,0 7 0,0 2 0</inkml:trace>
  <inkml:trace contextRef="#ctx0" brushRef="#br0" timeOffset="491">155 988 24575,'15'0'0,"2"0"0,9 0 0,6 0 0,9 0 0,15 0 0,2 0 0,7 0 0,1 0 0,-15 0 0,-18 0 0,-17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5:10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1 625 24575,'12'0'0,"4"0"0,4 0 0,11 0 0,4 0 0,1 0 0,3 0 0,-5 2 0,-3 2 0,-6 3 0,-10 2 0,-6 2 0,-4 1 0,-2 10 0,-12 16 0,-15 17 0,-13 13 0,-1-11 0,7-14 0,12-17 0,7-9 0,1-1 0,4-4 0,4-3 0,4-3 0,4-2 0,8-2 0,8-3 0,8-1 0,10-2 0,7-1 0,4-2 0,0 1 0,-2 2 0,-3 0 0,-5 2 0,-3-1 0,-10 2 0,-6 0 0,-7 1 0,-5 0 0,-3-1 0,-1 0 0,-2-4 0,-2 3 0,-1-2 0</inkml:trace>
  <inkml:trace contextRef="#ctx0" brushRef="#br0" timeOffset="1174">506 1 24575,'0'7'0,"0"2"0,0 5 0,0 4 0,0 2 0,0 3 0,0-1 0,0 0 0,-1 2 0,0-1 0,1 0 0,0-3 0,3-1 0,0-1 0,-1-4 0,1-2 0,-2-2 0,1-3 0,-1-7 0,0-3 0,1-4 0,1-3 0,2 0 0,0-3 0,2 0 0,0-2 0,2-1 0,3-1 0,2 1 0,4 3 0,-3 6 0,-2 3 0,-1 4 0,-1 0 0,0-1 0,0 1 0,0 0 0,-1 1 0,-1 1 0,-1 1 0,-1 3 0,-1 2 0,0 0 0,-2 0 0,0 0 0,-2 0 0,-1 1 0,-1 0 0,0 1 0,0-1 0,0 1 0,-2-1 0,-2 0 0,-2 0 0,-3-1 0,-1 1 0,-1 0 0,0 1 0,0 0 0,1-2 0,-2 0 0,-1-2 0,0 0 0,0-2 0,-2-1 0,-2-2 0,1-1 0,2 0 0,5-2 0,4-1 0,4-5 0,1-3 0,-1-6 0,1-7 0,0-5 0,0 11 0,0 2 0</inkml:trace>
  <inkml:trace contextRef="#ctx0" brushRef="#br0" timeOffset="2025">1023 663 24575,'6'3'0,"4"-2"0,7-1 0,6 0 0,5 0 0,5 0 0,0 0 0,0 0 0,-1 0 0,-4 0 0,-4 0 0,-5 0 0,-6 1 0,-6-1 0,-4 1 0</inkml:trace>
  <inkml:trace contextRef="#ctx0" brushRef="#br0" timeOffset="2391">1119 871 24575,'6'2'0,"5"0"0,5-2 0,5 0 0,5 0 0,2 0 0,-1 0 0,2 0 0,-3 0 0,0 0 0,-3 0 0,-5 0 0,-4 0 0,-4 0 0,-3-3 0,-4 3 0,-1-3 0</inkml:trace>
  <inkml:trace contextRef="#ctx0" brushRef="#br0" timeOffset="2842">1708 448 24575,'2'6'0,"0"0"0,-2 5 0,0 0 0,0 5 0,0 5 0,0 6 0,0 10 0,0 9 0,0 9 0,0 8 0,0 5 0,0-2 0,0 2 0,1-7 0,1-18 0,0-18 0,1-17 0,-3-9 0</inkml:trace>
  <inkml:trace contextRef="#ctx0" brushRef="#br0" timeOffset="3217">1720 513 24575,'0'0'0</inkml:trace>
  <inkml:trace contextRef="#ctx0" brushRef="#br0" timeOffset="4191">1783 581 24575,'8'4'0,"2"4"0,15 13 0,8 12 0,9 15 0,5 14 0,-7-3 0,-8-9 0,-11-21 0,-12-18 0,-6-14 0,-1-8 0,0-7 0,-1-6 0,0-3 0,-1-5 0,1-2 0,-2-3 0,0 1 0,-2 1 0,0 1 0,-1 4 0,-2 0 0,1 2 0,0 1 0,1 2 0,2 4 0,1 2 0,0 4 0,1 3 0,0 4 0,-1 2 0,1 3 0,-1 3 0</inkml:trace>
  <inkml:trace contextRef="#ctx0" brushRef="#br0" timeOffset="5042">2216 461 24575,'1'-7'0,"-4"3"0,-2 5 0,-6 11 0,0 6 0,2 13 0,3 6 0,4 2 0,1-1 0,1-11 0,0-8 0,0-8 0,0-2 0,0-3 0,0 0 0,3-1 0,2-1 0,5-1 0,5 0 0,4 0 0,3-1 0,2-1 0,1-1 0,1 0 0,-1 1 0,-2-3 0,1-4 0,-2-6 0,-1-8 0,-4-5 0,-6-2 0,-2-2 0,-4 0 0,-3 0 0,-1 4 0,-3 3 0,-6 4 0,-4 4 0,-5 4 0,-2 5 0,0 2 0,-2 2 0,0 1 0,-2-1 0,-1 0 0,3-1 0,2-2 0,7 1 0,6-1 0,3 1 0,2 1 0,1 1 0</inkml:trace>
  <inkml:trace contextRef="#ctx0" brushRef="#br0" timeOffset="5501">2787 653 24575,'0'-10'0,"0"-5"0,0 7 0,0-3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6:06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24575,'5'-3'0,"10"1"0,29 2 0,33 0 0,-3 0 0,13 0 0,0 0 0,9 0 0,4 0-966,-7 0 0,3 0 0,4 0 0,2 0 966,-8 1 0,4 0 0,1 0 0,0 1 0,1 1 0,-15 0 0,1 1 0,1 0 0,-1 0 0,-1 1 0,-4 0-572,3 0 0,-2 0 1,-1 0-1,-3 0 1,-2 1 571,8 1 0,-2 1 0,-4 0 0,-3 0 0,2-1 0,-3 1 0,-5-2-618,10-1 1,-1 0 617,11 2 0,0-1 0,-17-3 0,-2 0-251,-3 0 0,-2 0 251,-7-1 0,-2-1 0,42 1 0,-1-1 0,-8-1 1853,-3 1-1853,-5-1 0,-5 0 3781,-8 0-3781,-6 0 1740,-2 0-1740,-2 0 811,2 0-811,2 0 0,-2-1 274,2-3-274,-5 0 0,-8-1 0,0-1 0,-8 1 0,-1 0 0,-6 3 0,-9 1 0,-6 1 0,-5 0 0,-3 0 0,-2 0 0,0-1 0,5-1 0,5 0 0,0-1 0,-2 2 0,-6-1 0,-4 2 0,0 0 0,-3 0 0,-1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6:17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14 100 24575,'0'36'0,"0"5"0,1 1 0,1-7 0,0-12 0,0-10 0,-1 0 0,1-4 0,-1-3 0,0-4 0,0-7 0,-1-8 0,-1-8 0,-1-3 0,-3-3 0,0 0 0,0 1 0,2 3 0,1 2 0,0 4 0,2 2 0,-1 3 0,1 2 0,0 1 0,0 2 0,0 1 0,0 1 0,0 0 0,0 1 0,0 0 0,0 0 0,0 0 0,2 0 0,0 0 0,1 0 0,-2 0 0,1 1 0,-1-1 0,0 1 0,2 1 0,-1 0 0,2 2 0,-2 2 0,0 3 0,-1 4 0,0 4 0,-1 5 0,0 2 0,0 0 0,0 0 0,0-1 0,0-2 0,0-2 0,0-1 0,0-3 0,0-2 0,-1-1 0,1-2 0,-1-1 0,-1 0 0,0-2 0,-1 0 0,0-2 0,-1 0 0,1-2 0,2 0 0,0-1 0,1-1 0,0 0 0,-1-1 0,1-1 0,-1-1 0,0-1 0,1-1 0,-1-2 0,1-1 0,0-1 0,0 0 0,0 1 0,0-1 0,0 2 0,0 2 0,0 1 0,0 2 0,0 3 0,0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01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387 3476 24575,'0'-60'0,"-1"6"0,-1-6 0,-2-19 0,-2-8-1980,-1 12 1,-1-4-1,-1-3 1980,-5-10 0,-2-4 0,-1 0 0,-2-3 0,0 1 0,-2-2 0,5 21 0,-1 0 0,1 0 0,-1 1 242,-6-22 0,1 1 1,0 2-243,4 10 0,0 3 0,1 2 0,2 8 0,1 2 0,2 5 581,2-5 1,4 11-582,9 3 0,24 45 0,24 13 0,35 0 0,-22-1 0,8-3-368,-4 1 1,7-2 0,3 0 367,-5-1 0,3 0 0,4-1 0,1-1-913,-3 0 1,1-1-1,3-1 1,1 1 0,1-2 912,11 0 0,1 0 0,2-2 0,1 1 0,1-1-595,-11 2 1,1-1-1,0 1 1,1-2 0,1 1-1,0 0 595,-8 1 0,1 0 0,0 0 0,1 0 0,0 0 0,1 0 0,0 0-341,4 0 0,1 0 1,1-1-1,0 1 0,1 0 1,0 0-1,1 0 341,-9 1 0,0 0 0,1 0 0,0 0 0,1 1 0,-1-1 0,2 1 0,-1-1-90,3 0 0,0 0 0,1 0 0,0 1 1,1-1-1,-1 0 0,2 1 0,0 0 90,-7 0 0,0 1 0,1 0 0,1 0 0,-1 1 0,1-1 0,0 1 0,1-1 0,0 1 0,2-1 0,0 1 0,1 0 0,0 0 0,0 0 0,0 0 0,1 0 0,0 0 0,1 0 0,2 0 0,1 0 0,0 0 0,0 0 0,1 0 0,-1 0 0,1 0 0,0 1 0,0 0 0,-9 0 0,0 0 0,0 1 0,0 0 0,0 0 0,1-1 0,-1 1 0,0 0 0,0 1 0,0-1 0,9 0 0,1 0 0,0 0 0,-1 0 0,1 0 0,-1 0 0,-1 1 0,0-1 0,-2 1 0,6-1 0,-1 1 0,0 0 0,-2 0 0,1 0 0,-2 0 0,0 1 0,-1-1 0,-6 2 0,0-1 0,-1 0 0,0 1 0,-1 0 0,-1 0 0,0 0 0,-2 0 0,6 0 0,-1 1 0,-1-1 0,0 0 0,-2 1 0,-1 0 0,-2-1 0,4 1 0,-2 0 0,-1-1 0,-1 1 0,-1 0 0,1 0 26,13 1 0,-1-1 1,1 1-1,-3-1 0,-1 1-26,-8 0 0,-2-1 0,-1 1 0,-1 0 0,-1 0 154,13-1 1,-1 1 0,-2 0 0,0 0-155,-5 0 0,-1 0 0,-1 0 0,-1 0 0,-2 0 0,-2 0 0,0 0 0,0-1 484,-1 0 0,-1-1 0,0-1 0,-1 0-484,22-3 0,-1-1 0,-2-1 1049,-6-1 0,-2 0 0,-4-2-1049,19-5 0,-8 0 0,-25 4 0,-8 0 0,17-3 4458,-40 7-4458,-23 5 4380,-7 10-4380,1 5 1285,-1 13-1285,2 24 0,4 27 0,-5-23 0,0 4-461,1 7 0,-1 2 461,0 9 0,0 2 0,1 6 0,-1 0-870,1 3 0,0 0 870,-1-2 0,1-2 0,-1-9 0,-1-1-342,0-8 0,-1-2 342,0-6 0,-1-1 0,1-1 0,-1-2 0,1 0 0,-1-1-196,6 47 196,0-6 0,-1-1 0,1-3 0,-1-6 0,0-3 0,-1-8 1165,1-11-1165,-3-3 1769,-1-11-1769,-4-11 795,-2-7-795,-2-11 241,-6-7-241,-14-10 0,-25-13 0,-35-19 0,19 4 0,-6-3-1483,-20-7 1,-7-3 1482,19 8 0,-4 0 0,-2 0-1046,13 6 0,-2 0 1,-1 0-1,-1 1 1046,-8-2 0,-1 0 0,-2 1 0,-1 0-866,-4 0 0,-2 0 0,-1 1 0,-1 0 866,-2 2 0,-2 0 0,1 1 0,-2 2-548,19 4 1,0 1-1,0 1 1,-1 0 0,1 2 547,0 0 0,-1 2 0,1 0 0,0 0 0,-1 2-256,0 0 0,-1 1 0,1 0 0,-1 1 1,0 1 255,-2 0 0,-1 1 0,0 1 0,0-1 0,0 2 0,-2-1 0,0 1 0,0 0 0,-1 1 0,0 0-138,-3 0 1,0 0 0,0 1-1,-1 0 1,0 0 137,-1 0 0,0 0 0,-1 0 0,0 1 0,-2 0-83,9 1 0,-1 1 0,-1-1 0,-1 2 0,0-1 0,-1 2 83,-5-1 0,0 2 0,-1-1 0,-1 2 0,0 0 0,0 0-50,10 0 0,0 0 1,0 1-1,-1 0 0,0 0 1,0 1-1,-1 1 50,-2 0 0,0 1 0,-1 0 0,0 1 0,0 1 0,0-1 0,1 1-30,3 0 1,1 0 0,-1 0 0,1 1 0,1 0 0,-1 0 0,0 1 29,1 0 0,-1 0 0,1 0 0,0 0 0,0 1 0,0 0 0,0 1-3,1-1 0,-1 1 1,0 1-1,0-1 0,1 1 1,0-1-1,1 0 3,-8 2 0,0 0 0,2 0 0,-1-1 0,1 1 0,0 0 0,1 0 0,-1 0 0,1 0 0,0 0 0,0-1 0,0 1 0,2 0 0,-1-1 0,1 1 0,0-1 0,-1 1 0,-1-1 0,-4 1 0,0-1 0,-1 0 0,-1 1 0,1-1 0,-1 0 0,-2 1 0,-1 1 0,0-1 0,0 0 0,1 0 0,0-1 165,4-1 1,0-1-1,0 0 1,1 0-1,0 0 1,1 0-166,1-1 0,0 1 0,1-1 0,0 0 0,2 0 0,0 0 0,-7 1 0,2-1 0,1 1 0,0-1 0,1 1 0,1-2 0,0 1 0,1-1 0,2 1 0,4-1 0,-3 1 0,3 0 0,3 0 0,4 0 0,-2-1 0,3 1 0,7-2 1122,-4 3 0,7-1-1122,-22 7 0,36-9 0,1-1 0,-36 11 3533,6-1-3533,12-3 5382,8-1-5382,10-2 3310,8-3-3310,7-2 737,9-1-737,6-3 0,10-3 0,4-1 0</inkml:trace>
  <inkml:trace contextRef="#ctx0" brushRef="#br0" timeOffset="700">4455 1165 24575,'-18'0'0,"5"0"0,9 0 0,30 0 0,21 0 0,11 0 0,-11 4 0,-24 5 0,-17 9 0,-6 5 0,-1 6 0,-4 2 0,-3 0 0,-3 1 0,-1-3 0,2-3 0,2-3 0,3-4 0,1-4 0,2-2 0,2-5 0,8-1 0,13-2 0,18-1 0,18-1 0,9-2 0,5 0 0,-3-3 0,-6-2 0,-8-4 0,-12-2 0,-11-2 0,-9-2 0,-12 7 0,-4-1 0</inkml:trace>
  <inkml:trace contextRef="#ctx0" brushRef="#br0" timeOffset="1200">5258 1055 24575,'-9'4'0,"1"2"0,0 6 0,-2 8 0,1 1 0,1 5 0,2-1 0,4-2 0,0 0 0,1-5 0,5-2 0,12-2 0,21-5 0,26 3 0,24 2 0,4 0-448,-1 0 448,-4-2 0,-6-1 0,2 4 0,-14-3 0,-20 0 0,-17 6 0,-19 1 0,-13 2 0,-13-5 448,-8-7-448,-6-6 0,13-3 0,4-2 0</inkml:trace>
  <inkml:trace contextRef="#ctx0" brushRef="#br0" timeOffset="1574">5445 1016 24575,'25'0'0,"47"0"0,-11-2 0,6-2 0,14-2 0,0 0 0,-9-1 0,-5 0 0,27-5 0,-44 6 0,-34 5 0,0-1 0</inkml:trace>
  <inkml:trace contextRef="#ctx0" brushRef="#br0" timeOffset="2325">6462 892 24575,'-20'42'0,"4"6"0,1 7 0,9-11 0,4-12 0,2-11 0,0-5 0,0 3 0,0-1 0,0-2 0,0-1 0,0-4 0,0-1 0,-1-2 0,1-2 0,6-2 0,12-2 0,14-2 0,18 1 0,16-1 0,16 0 0,0 0 0,-3 0 0,-2 0 0,-10-2 0,-4-2 0,-13-4 0,-16-4 0,-17 1 0,-20 3 0,-16 4 0,-25 4 0,-11 0 0,-6 4 0,2 5 0,14 5 0,14 1 0,9-2 0,8-4 0,5-2 0,-1 0 0,1-3 0,1 0 0,0-5 0,0-4 0,3 2 0,1-2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09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2711 24575,'-4'6'0,"2"-6"0,1-10 0,-1-11 0,-9-24 0,-9-19 0,-13-17 0,11 27 0,-1-2 0,-2-1 0,0-3 0,-2-7 0,0 0-657,4 6 1,1 2 656,2 3 0,1 1 0,3 5 0,1 3 0,-6-21-16,2-1 16,9 25 0,9 10 0,16 1 0,22 15 0,20-4 0,-8 6 0,8-3 0,21-9 0,10-4-383,-6 1 0,7-3 1,6-1 382,-22 8 0,4-1 0,3-1 0,1 0 0,1 0-1191,5-2 0,3-1 1,0 1-1,0 0 0,0 0 1191,-2 1 0,-1 1 0,1 0 0,0 1 0,-1 1-651,0 0 0,-1 1 0,1 0 0,-1 1 0,0 1 651,-2 1 0,-1 1 0,0 1 0,0 0 0,1 0-564,4 0 1,0 1 0,0-1 0,1 1-1,0 0 564,1 0 0,0 0 0,1 1 0,-1 0 0,-1 1 0,-6 1 0,0 1 0,-1 0 0,-1 1 0,-3 0-145,10-2 1,-2 2-1,-2-1 1,-2 2 144,15-3 0,-2 0 0,-3 2 534,-9 0 0,-1 2 1,-4 0-535,19-3 0,-6 2 1062,-8 1 0,-5 1-1062,-15 2 0,-3 1 0,38-5 4213,-18 3-4213,-11 1 3447,-4 1-3447,2-3 0,6-2 0,1 0 0,2 0 2568,-4 2-2568,-7 0 994,-7 3-994,-13 2 132,-11 3-132,-11 3 0,-8 0 0,-4 1 0,-3 2 0,-3 5 0,-3 12 0,6 22 0,7 10 0,9 10 0,10 11 0,-10-27 0,1 4-790,5 10 0,2 3 790,5 12 0,1 2 0,1 3 0,0 1 0,-4-7 0,-1-1 0,-2 0 0,-1-1 0,-4-10 0,-2-1 0,0-1 0,0-2-268,-3-3 0,-1-4 268,12 31 0,-8-16 0,-9-20 0,-6-12 0,-5-9 1535,-8-10-1535,-6-7 581,-7-4-581,-14-4 0,-20-1 0,-31-1 0,23 2 0,-4 0-1253,-17 1 1,-6 2 1252,18 1 0,-3 1 0,-4 3-1257,3 2 1,-4 2-1,-3 2 1,-2 2 1256,-12 2 0,-4 2 0,-2 2 0,-1 1-858,11-2 0,-2 2 0,-1 0 0,-1 1 1,0 0 857,12-3 0,-1 0 0,0 1 0,-1-1 0,1 1 0,-1-1-260,1 0 0,1-1 0,-1 1 1,0-1-1,-1 0 0,-1 1 260,-6 0 0,0 0 0,-2 0 0,0 0 0,-1 0 0,1-1 0,-1 0 0,0-1 0,0 1 0,0-2 0,0 1 0,1-2 0,2 1 0,0-1 0,1-1 0,0 0 0,2 0 0,3-1 104,-5 0 1,2 0 0,2-1-1,4-1 1,5 0-105,-16 0 0,7 0 0,9-3 1474,3 0 0,12-2-1474,2-1 0,42-6 0,3 2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0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1947 24575,'0'-21'0,"-6"-22"0,-9-5 0,-4-6 0,-1-1 0,-2-1-907,-3-7 1,-1 0 906,-2 2 0,2 2 0,-10-31 0,15 36 0,0 0 0,2 4 0,1 2 487,-12-42-487,1 8 0,8 14 323,3 13-323,6 14 0,5 12 0,4 8 924,14 4-924,27 0 0,56-10 0,-16 7 0,12-1-1658,-21 4 0,7 0 0,4-2 0,3-1 1658,0 0 0,2-1 0,3 0 0,5-1 0,5 0 0,-16 4 0,5-1 0,2 1 0,3-1 0,3 0 0,1 1 0,1 0 0,1 0-457,-7 3 1,0-1 0,3 1 0,0-1 0,2 1 0,1 0 0,0 1 0,2 0 0,0 1 0,0 0 456,-9 2 0,1 1 0,1-1 0,0 2 0,2-1 0,-1 1 0,1 0 0,1 1 0,-1-1 0,0 2 0,-1-1 0,0 1-255,0 1 1,1-1 0,0 1 0,1 1 0,-1-1 0,0 1 0,0 1-1,-2-1 1,-1 2 0,-1-1 0,-3 2 0,-2-1 254,19 1 0,-3 1 0,-2 1 0,-1 0 0,-4 1 0,-1 0 0,-3 1 0,-2-1-232,7 2 0,-2-1 0,-3 2 0,-3-1 0,-6 2 1,-5-1 231,19 4 0,-9 1 0,-7 0 899,3 3 0,-4-1-899,7 0 0,-4-1 0,-19-2 0,-4-1 3252,39 5-3252,-29-5 4863,-20-3-4863,-15-1 4286,-10-1-4286,-8 5 1514,-10 8-1514,-5 21 0,-4 29 0,0 34-606,4-41 0,1 2 606,2 7 0,4 2 0,4 4 0,3 2-760,5 2 0,4 0 760,0-3 0,2-2 0,-1-7 0,0-4-112,-4-8 1,0-4 111,15 28 0,-7-12 0,-6-20 1102,-8-12-1102,-10-11 0,-43-10 0,-24-6 0,-2 1 0,-11 0 0,-9 0 0,-5 1-523,14-1 1,-5 0 0,-5 1 0,-3 1 0,-3-1 0,-2 1 0,0 1 522,6-1 0,-3 0 0,-1 0 0,-3 1 0,-1 0 0,0 0 0,-1 0 0,0 1 0,1-1-484,6 0 1,0 0 0,-2 0 0,0 0 0,0 0-1,0 0 1,1 0 0,1 0 0,1 0 0,3-1 483,-10 2 0,1-1 0,1 1 0,2-1 0,1 0 0,2 0 0,2-1 0,2 0-467,-7 0 0,3 0 1,1-1-1,4 0 0,2-1 1,2 0 466,-13 0 0,4-1 0,3-1 0,2 1-493,-12 0 0,3-1 0,0 1 493,-5 0 0,0 0 0,1 1 0,2-1 0,1 0 0,0 0 0,1 1 0,-1 0 0,3 1 268,7 0 0,2 0 1,1 1-269,-1 1 0,0 0 0,3 1 745,10 0 0,2 0 0,2-1-745,-24 6 0,2-1 1286,8-1 0,2 0-1286,11-3 0,3 0 1323,5-1 0,3-1-1323,-33 4 2651,20-3-2651,20-5 2009,14-2-2009,13-1 0,11-2 0,4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1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14 24575,'0'8'0,"0"1"0,0 7 0,0 7 0,0 5 0,0 2 0,0 0 0,0-2 0,0 0 0,0 1 0,2-5 0,0-3 0,3-3 0,2-7 0,3-4 0,0-2 0,4-2 0,0-2 0,4 0 0,3-6 0,3-11 0,1-13 0,-4-11 0,-6 3 0,-8 4 0,-4 9 0,-5 3 0,-3-1 0,-8 1 0,-6 2 0,-5 3 0,-2 2 0,1 3 0,1 2 0,4 2 0,1 2 0,4 3 0,3 1 0,1 0 0,3 2 0,0 1 0,-1 2 0,0 2 0,2 1 0,-2 0 0,5-3 0,0-1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2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24575,'0'46'0,"0"2"0,0 19 0,0 2 0,4 11 0,4-2 0,5-3 0,3-4 0,-1-6 0,1-8 0,-2-11 0,-2-16 0,-15-24 0,5-3 0,-11-13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2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24575,'14'0'0,"0"0"0,8 0 0,-1 0 0,-1 0 0,-1 0 0,-8 1 0,-3 5 0,-5 4 0,-1 6 0,-2 4 0,-2 11 0,-2 7 0,-1 3 0,-2 1 0,1-8 0,0 4 0,-1-3 0,2 0 0,3-6 0,6-9 0,8-6 0,7-11 0,6-9 0,-2-5 0,-8 3 0,-4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3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17105,'-5'0'0,"12"0"3313,13 0-3313,10 0 1282,-2 0-1282,-8 0 679,-10 3-679,-5 1 2196,-1 6-2196,-3 5 0,0 4 0,-1 7 0,0 3 0,0 3 0,0 4 0,0 0 0,0-1 0,0-2 0,0-2 0,0-3 0,0-4 0,0-5 0,0-5 0,0-5 0,0-1 0,-2-2 0,-7-1 0,-12-6 0,-9-5 0,1-2 0,6-1 0,11 1 0,7-1 0,1 0 0,3-2 0,0 0 0,0-2 0,1 2 0,0-1 0,1 1 0,-1 5 0,1 1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4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24575,'10'0'0,"8"0"0,6 0 0,10 0 0,6 0 0,-3 0 0,-4 0 0,-6 0 0,-13 0 0,-6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4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24575,'4'7'0,"-2"1"0,-2 9 0,0 5 0,0 12 0,0 8 0,0 3 0,6 2 0,4-7 0,-3-16 0,2-10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5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24575,'14'0'0,"5"0"0,14 0 0,8 0 0,-5 0 0,-7 3 0,-17 7 0,-9 3 0,-3 2 0,-1-1 0,-1-2 0,-3 0 0,-3 1 0,-2 1 0,-1 0 0,-1 1 0,3-1 0,-1 1 0,2-1 0,2 0 0,2-2 0,1-1 0,2-1 0,1-2 0,4-1 0,5-2 0,6-2 0,11-2 0,6-1 0,4 0 0,0 0 0,-6 0 0,-2-1 0,-4-1 0,-4-1 0,-5 0 0,-4 0 0,-2 0 0,-3-1 0,-1-3 0,-2 2 0,-3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6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70 120 24575,'0'-17'0,"0"-9"0,8-4 0,11 3 0,6 10 0,0 14 0,-9 9 0,-9 4 0,-4 7 0,-1 6 0,-1 5 0,0 4 0,-1 4 0,-1 2 0,0 1 0,-3 0 0,-1-2 0,0-3 0,-3-2 0,1-4 0,2-2 0,2-1 0,1-3 0,1-3 0,1-3 0,-1-5 0,1-2 0,0-1 0,0-1 0,1-1 0,3-1 0,4-3 0,3-1 0,3-4 0,4-6 0,2-9 0,4-13 0,-1-17 0,-5-11 0,-6-7 0,-21 9 0,-11 18 0,-9 16 0,-3 11 0,7 7 0,-2 0 0,2 3 0,1-1 0,1-1 0,4 0 0,2-3 0,4 0 0,4-2 0,2-1 0,3 0 0,1-2 0,2 0 0,2 0 0,4-2 0,4 2 0,5 2 0,-5 4 0,-2 3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7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24575,'14'0'0,"0"0"0,4 0 0,2 0 0,2 0 0,-1 0 0,-5 0 0,-3 0 0,-4 1 0,-4 2 0,-3 4 0,-1 2 0,-7 4 0,-4 2 0,-4 0 0,1 4 0,6-11 0,4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7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24575,'-3'13'0,"0"4"0,3 2 0,-1 4 0,1-2 0,1-7 0,2-6 0,3-5 0,2-3 0,2 0 0,0 0 0,2 0 0,3 0 0,0 1 0,-1 1 0,-4 1 0,-2 1 0,0 1 0,-1 0 0,0 1 0,-2 1 0,-2 0 0,-6-1 0,-5-2 0,-5-1 0,-4-3 0,-1 0 0,-1 0 0,-1-3 0,-2-5 0,10 3 0,1-3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8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24575,'8'0'0,"3"0"0,5 0 0,6 0 0,3 0 0,0 0 0,-10 0 0,-5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8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0 24575,'-12'30'0,"4"-7"0,2 2 0,4-6 0,1-1 0,0 0 0,0-3 0,1-3 0,1 0 0,6-5 0,9-2 0,8-3 0,7-2 0,3 0 0,-1 0 0,0 0 0,-5 0 0,-5 0 0,-4 2 0,-9 1 0,-4 2 0,-9 0 0,2-2 0,-4-1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19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 24575,'10'0'0,"1"0"0,7 0 0,4 0 0,4 0 0,6 0 0,4 0 0,5 0 0,-1 0 0,-5 0 0,-9 0 0,-8-2 0,-7-3 0,-4-3 0,-5-5 0,0 6 0,-1-1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30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24575,'0'10'0,"0"3"0,0 0 0,0 6 0,0 6 0,0 11 0,0 9 0,0 6 0,0-1 0,0 5 0,0-2 0,0-4 0,0-6 0,0-23 0,0-6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39:31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6 136 24575,'-3'-3'0,"1"5"0,3 6 0,4 7 0,4 2 0,4 5 0,0 3 0,1 0 0,-1-2 0,-2-4 0,-1-4 0,-3-3 0,0-1 0,2 0 0,-1-4 0,0-2 0,1-2 0,-1-3 0,2 0 0,4 0 0,4-2 0,2-5 0,2-5 0,1-9 0,5-7 0,2-3 0,7-7 0,4-7 0,-2-6 0,0 0 0,-10 11 0,-12 19 0,-8 15 0,-6 10 0,-4 5 0,-1-2 0,-2 0 0,-1 0 0,-1 0 0,0-3 0,-3-1 0,-1-7 0,0-6 0,4 3 0,2-3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0:00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2201 696 15282,'4'-16'0,"-2"2"3949,-2-21-3949,-5-9 1605,-7-16-1605,-7-12 865,-4 7-865,-5-5 2874,-5 4-2874,-4 8 0,-3 6 0,-6 9 0,-5 8 0,-8 9 0,-7 8 0,-8 6 0,-2 6-896,-22 2 896,39 5 0,-2 3-860,-10 4 0,-3 4 860,-11 6 0,0 6 0,2 3 0,2 4 0,-3 4 0,1 4 0,2 3 0,3 1 0,8-2 0,4 1 0,3 0 0,2 1-405,6-1 1,4 1 404,9-5 0,3 0 0,2 2 0,3 1-22,-15 39 22,25-4 0,8 6 0,11 1 0,3 4 0,6 8-100,2-39 0,2 2 100,5 1 0,2 0 810,6 6 1,4 1-811,7 8 0,5 0 0,6-3 0,8-2 0,14 2 0,10-7-552,-14-26 1,5-4-1,1-6 552,-3-6 0,2-5 0,0-3 0,1-3 0,2-3 0,-2-4-804,25-4 0,-2-5 804,-9-4 0,-1-4 0,7-3 0,-1-4 0,-8-2 0,-4-3 16,-6 0 0,-2-2-16,-9 0 0,-3 0-289,34-21 289,-15 1 0,-15-5 0,-13-13 0,-10-19 0,-21 31 0,-3-4 632,-2-3 0,-2-3-632,0-7 0,-2-2-2,0-7 1,-1-3 1,2-4 0,-1-1 0,0 1 0,0 0 0,0 7 0,0 1 0,-1 9 0,0 3 343,-1 11 1,-1 2-344,2-37 326,-3 24-326,-1 21 1047,0 11-1047,0 12 1961,-4 6-1961,-5 5 264,-5 1-264,-6 2 0,1 3 0,-2 2 0,1 3 0,3 0 0,3 3 0,5 5 0,4 0 0,2 2 0,2-2 0,-1-2 0,0 1 0,-1 1 0,-2-2 0,1 1 0,-1-2 0,4-3 0,-1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0:05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1021 531 24575,'-54'0'0,"-7"1"0,-38 5-956,40-1 0,0 1 956,5 1 0,-1 0 0,-5 2 0,1 0 295,-39 10-295,11-2 0,12 1 392,17-3-392,13-3 0,11-1 0,10-3 967,6 0-967,5-4 258,6-3-258,6-5 0,6-2 0,10-3 0,8-2 0,21-5 0,20-4 0,25-7-759,-32 11 0,4-1 759,8-3 0,6 0-1070,-11 3 0,5-1 0,2 0 1070,7-3 0,4 1 0,1-2 0,-10 4 0,2-2 0,1 0 0,2 0-344,8-3 1,2 0 0,0 0 0,0 0 343,-6 1 0,0 0 0,-1 0 0,-1 1 0,17-5 0,-1 0 0,-8 3 0,6-1 0,-14 3 0,0 2 0,-46 11 0,-25 6 1150,-3 0-1150,-17 2 3165,-15 4-3165,-22 6 0,-15 6 0,-19 6 354,32-8 0,-2 0-354,-7 1 0,-3 1 0,-7 0 0,-2 1-842,-5 0 0,-2 1 842,-3-1 0,-2 0 0,-1 0 0,-1 0 0,0-1 0,-1-1 0,2 1 0,1-1 0,2 0 0,1 0 0,6-1 0,0 1-445,5-2 0,1-1 445,9-1 0,2-1-75,7 0 1,1-1 74,-35 7 0,11-2 0,4-1 927,12-2-927,12-1 1673,10-1-1673,9-1 1020,6 0-1020,10-1 181,12-4-181,18-7 0,25-8 0,29-10 0,-21 6 0,2 0-847,7-3 0,3 0 847,7-2 0,3 0 0,5-2 0,2 0 0,1 0 0,0 0 0,-2 0 0,0 0 0,-5 2 0,-1-1 0,-9 4 0,-2 0 0,-3 0 0,-1 2-254,-3 1 1,-3 0 253,41-9-90,-14 4 90,-16 3 0,-10 5 0,-11 3 1640,-9 2-1640,-7 2 551,-7 1-551,-5 1 100,-3 1-100,-3 1 0,-2 1 0,-5 0 0,-40 8 0,-9 3 0,-11 4 0,-3 2 0,-7 2 0,-3 3-995,2-1 0,-4 3 0,-2 0 0,2 0 995,-20 8 0,2 0 0,2 0 0,10-3 0,2-1 0,4 0-622,-12 4 0,9-3 622,24-8 0,2-1-319,-5 2 0,2-1 319,-39 16-177,11-4 177,16-7 3483,14-6-3483,11-4 1462,10-4-1462,8-2 846,8-1-846,13-5 248,23-8-248,30-14 0,36-14 0,-38 12 0,3-1-496,7-2 1,1-1 495,5-1 0,0 0-763,1 2 0,-1-1 763,-2 2 0,0 0 0,-4 1 0,-2 2-207,-5 1 1,-2 2 206,41-15-46,-9 5 46,-21 8 890,-15 3-890,-14 6 1563,-12 5-1563,-12 4 469,-6 2-469,-6 0 54,-2 1-54,0 0 0,0 2 0,-2 0 0,1 0 0,0-1 0,1 0 0,0-1 0,0 1 0,0 0 0,-1-1 0,0 0 0,1-3 0,2 1 0,2-2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0:08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24575,'20'0'0,"18"0"0,26-1 0,-14-2 0,5 0-1308,7-1 0,3 0 1308,9-2 0,3-1 0,7 2 0,0-1 0,-7 1 0,-2 1 0,-1 1 0,-2 1 0,-12 1 0,-2 0 650,37 0-650,-10 0 0,-22 1 473,-16 0-473,-15 0 0,-11 0 0,-8-1 335,-7 1 1,-4 0 0,-5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0:1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24575,'14'0'0,"7"-4"0,-6 3 0,1-3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4:28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 24575,'5'0'0,"1"0"0,0 1 0,-1 3 0,-2 1 0,-2 5 0,-1 4 0,1 4 0,-1 4 0,0 6 0,0 2 0,0 4 0,0 1 0,0-3 0,-1 0 0,-1-1 0,-1-5 0,-1-3 0,-1-5 0,1-5 0,0-2 0,3-2 0,0-1 0,2-2 0,4-1 0,3-3 0,6-1 0,5-2 0,5-5 0,2-4 0,4-3 0,0 0 0,-4 4 0,-3 3 0,-10 1 0,-9 0 0,-9-8 0,-8-6 0,4 7 0,0-1 0</inkml:trace>
  <inkml:trace contextRef="#ctx0" brushRef="#br0" timeOffset="799">152 82 24575,'-11'0'0,"1"0"0,-4 0 0,-1-1 0,1 2 0,1 3 0,4 1 0,3 2 0,1-2 0,0 0 0,0 1 0,-1 1 0,-1 1 0,1 0 0,1-1 0,1-1 0,1-1 0,1 0 0,0 1 0,0 0 0,-2-2 0,1-3 0,3-4 0,5-2 0,0 0 0,2 2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4:26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0 111 21747,'15'-7'0,"6"3"1362,19-2-1362,15 0 476,10-1-476,6-2 0,-2 3 243,-5 3-243,-8 1 747,-8 1-747,-13 0 0,-10 4 0,-9 5 0,-8 7 0,-4 7 0,-4 5 0,-6 3 0,-6 7 0,-5 1 0,-4 0 0,2-2 0,1-4 0,5-4 0,2-3 0,4-4 0,7-7 0,17-5 0,30-7 0,9-6 0,5-2 0,-14-1 0,-16 0 0,0 1 0,-8 1 0,-4 1 0,-6 1 0,-2-3 0,-3-2 0,-4 2 0,-2 1 0</inkml:trace>
  <inkml:trace contextRef="#ctx0" brushRef="#br0" timeOffset="476">537 0 24575,'9'0'0,"-2"0"0,2 0 0,-4 0 0,-2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4:30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6 860 24575,'-5'0'0,"4"0"0,4 0 0,9 0 0,12 0 0,7-3 0,13-4 0,6-4 0,0-3 0,3 1 0,-4-1 0,-1 1 0,-5 1 0,-8 3 0,-17 5 0,-7 2 0</inkml:trace>
  <inkml:trace contextRef="#ctx0" brushRef="#br0" timeOffset="358">267 1058 24575,'24'0'0,"5"0"0,18-2 0,16-5 0,9-4 0,8-2 0,-7-1 0,-5 1 0,-6-1 0,-12 0 0,-21 6 0,-12 3 0</inkml:trace>
  <inkml:trace contextRef="#ctx0" brushRef="#br0" timeOffset="1240">851 1 24575,'0'44'0,"1"17"0,18 32 0,12-1 0,9-11 0,7-20 0,-10-25 0,1-1 0,-2-9 0,-4-8 0,-6-6 0,-4-5 0,-4-8 0,-4-12 0,-4-15 0,-4-11 0,-3-9 0,-1-1 0,0 1 0,1 2 0,0 8 0,-1 7 0,-1 10 0,-1 11 0,-1 17 0,-2 13 0,1 12 0,-2 7 0,1 18 0,-1 11 0,2 13 0,6 8 0,13-10 0,12-6 0,9-16 0,-4-23 0,-11-13 0,-10-11 0,-5-4 0,-3-1 0,-1-2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4:36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1 404 24575,'0'16'0,"0"5"0,0 14 0,0 9 0,0 2 0,0 19 0,0 1 0,0 19 0,0 5 0,0-4 0,0-2 0,0-23 0,3-18 0,2-23 0,3-17 0,4-10 0,9-10 0,17-10 0,19-11 0,22-9-614,-31 20 0,3-1 614,7-1 0,3 0 0,5 0 0,1 2 0,5-1 0,1 3-862,3 1 1,0 2 861,3 2 0,1 2 0,2 3 0,3 2-1266,10 2 0,4 2 1266,-26 4 0,1 2 0,1 0 0,6 0 0,0 1 0,1 1 0,0 0 0,0 0 0,-1 2 0,-2 1 0,-1 1 0,-1 2 0,0 0 0,-1 2 0,-1 1 0,-6 0 0,-2 0 0,-1 1 0,31 5 0,-3-1-573,-12-2 0,-4-1 573,-9-2 0,-2-2 218,-3 0 0,-2-2-218,-10-1 0,-2-1 1404,34-1-1404,-16 0 2650,-9-1-2650,-4-2 1517,-1-4-1517,-6-3 622,-3-5-622,-4-3 0,-2-5 0,-2-1 0,-9 2 0,-5 3 0,-8 6 0,-5 4 0,-4 0 0,-4-2 0,0-2 0,-2-5 0,1-3 0,-1-4 0,2-14 0,2-11 0,3-12 0,2-7 0,2 5 0,2 1 0,0 5 0,0 7 0,-2 8 0,-3 10 0,-1 11 0,-3 13 0,-3 9 0,0 8 0,-1 5 0,0-1 0,-1-1 0,-1-2 0,0-1 0,0 0 0,2-3 0,-1-2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5:15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4517 24575,'0'-29'0,"0"-8"0,-6-40 0,-2 1 0,-3-13 0,-1 5 0,-3-8 0,1-5-741,2 6 0,0-4 0,0-2 1,1-1 740,0-2 0,0-3 0,2 1 0,-1 2 0,2 5 0,0 0 0,0 3 0,2 6 0,2-3 0,1 5 0,0 8 0,-1-5 0,1 10 698,-2-13-698,5 48 0,1-5 0,15 16 0,23 1 0,40-3 0,-4 7 0,12-1-1017,-9 2 0,6-1 0,6-2 1017,-5 2 0,5-1 0,5-1 0,5-1-718,-24 6 0,4-1 1,3 0-1,2 0 1,2-1-1,2 0 1,0 1 717,1-1 0,2 0 0,2 0 0,1 0 0,1 0 0,2 0 0,1 0 0,2-1-336,-9 2 0,0 0 0,2 0 0,2-1 0,0 1 0,1-1 0,1 1 0,1-1 0,1 1 1,0-1 335,-9 3 0,1-1 0,1 1 0,1-1 0,0 1 0,1-1 0,0 1 0,1-1 0,0 1 0,1-1 0,-1 1 0,1 0-173,-4 1 0,1-1 0,0 1 0,0 0 1,0 0-1,1 0 0,0 0 0,1-1 0,0 1 1,0 0-1,0 1 0,1-1 0,1 0 173,-4 0 0,2 0 0,-1 1 0,1-1 0,0 1 0,1-1 0,0 1 0,0-1 0,0 1 0,1 0 0,0-1 0,0 1 0,0 0 0,0 0-30,-4 0 1,0 1 0,1-1 0,0 1-1,0-1 1,0 1 0,1-1 0,-1 1 0,1 0-1,0-1 1,-1 1 0,1 0 0,0 0-1,-1 0 1,1 1 29,0-1 0,0 0 0,0 1 0,1-1 0,-1 1 0,1-1 0,0 1 0,-1 0 0,0-1 0,0 1 0,0 0 0,-1 0 0,0 1 0,-1-1 0,0 1 0,1-1 0,-1 1 0,-1-1 0,0 1 0,0 0 0,0 0 0,-1 0 0,0 0 0,0 0 0,-1 0 0,0 1 0,1 0 0,-1 0 0,-1 0 0,5-1 0,-1 1 0,0 0 0,0 1 0,-1-1 0,0 1 0,1-1 0,-2 1 0,1 0 0,-1 1 0,0-1 0,0 1 0,0 0 0,3 0 0,0 0 0,-1 0 0,0 1 0,0 0 0,0 0 0,0 0 0,-1 0 0,0 1 0,1-1 0,-1 1 0,0 0 0,7-1 0,-1 1 0,1 0 0,-1 0 0,0 0 0,0 0 0,0 1 0,0-1 0,0 1 0,1 0 0,0 0 0,-7 0 0,1 1 0,1 0 0,-1 0 0,1 0 0,0 0 0,-1 0 0,1 1 0,-2-1 0,0 1 0,-1 0 0,-2 0 0,10-1 0,-2 1 0,0 0 0,-1 0 0,-1 1 0,0-1 0,-1 1 0,-1-1 0,0 1 0,-1 0 0,4 0 0,-1 0 0,-1 0 0,0 0 0,-1 1 0,-1-1 0,0 1 0,-1-1 0,-2 1 0,4 0 0,-1 0 0,0 0 0,-2 1 0,-1-1 0,0 1 0,-2-1 0,-2 1 0,15-1 0,-2 0 0,-2 1 0,-1-1 0,-1 1 0,0 0 0,-4 0 0,0 1 0,-1 0 0,0 0 0,-2 0 0,-1 1 233,9 1 0,-2 0 0,-1 1 0,-1 0 1,-1 2-234,-2 1 0,-2 0 0,0 2 0,0 0 0,-2 1 0,-2 0 0,-1 1 0,-1 0 0,-1 0 0,-2 0 556,9 3 0,0 0 0,-4 0 0,-4 0-556,6 2 0,-5 0 0,-5-2 0,9 0 0,-7-3 0,-18-3 0,-5-2 3709,17-1-3709,-28-5 5545,-14 0-5545,2 0 2747,-2 0-2747,0 1 993,-3 1-993,-1 1 0,-3 0 0,-4 0 0,-2 0 0,-4 0 0,-1-1 0,-3 1 0,-3 1 0,-1 1 0,-2 1 0,-2 3 0,1 8 0,-1 15 0,0 27 0,0 40-1107,1-30 0,1 5 1107,2 17 0,2 6-1164,0-20 1,1 2 0,2 2 1163,1 9 0,1 1 0,0 3-868,-1-18 1,0 1-1,0 1 1,0 1 867,0 3 0,0 2 0,0-1 0,-1 0 0,0-4 0,-1-1 0,0 0 0,-1 0-773,2 21 0,0-1 1,-1 0 772,0 2 0,0 1 0,-1-3 256,0-12 1,0-3-1,-1 0-256,1 1 0,-1 0 0,0-3 0,1 25 0,-1-9 1153,-2-31 0,-1-5-1153,-1 36 3702,-14-61-3702,-19-24 0,-33-5 0,13-3 0,-6 0 835,-18 3 1,-7 1-836,15-2 0,-4 1 0,-4 1-1375,-12 1 1,-4 0 0,-5 1 1374,5 0 0,-4 0 0,-3 1 0,-2-1-882,9-1 0,-2 1 0,-2-1 0,-1 0 0,-2 0 882,8-1 0,-1 0 0,-2 0 0,-1 0 0,-1-1 0,0 1-422,7-2 1,-1 0 0,-1 0 0,-1 0-1,0 0 1,-1-1 0,1 0 421,-3-1 0,-1 1 0,1-1 0,-1-1 0,-1 1 0,0-1 0,-2 0-179,7 0 1,-1 0 0,0-1 0,-1 1 0,-1-1 0,0 0 0,0-1 0,-2 1 178,8-1 0,-2 0 0,0 0 0,0 0 0,0 0 0,-2-1 0,1 0 0,-1 0 0,-1 0-49,-5-1 1,0 0 0,-1 0 0,0 0 0,-1 0 0,-1-1 0,1-1 0,-2 1 0,0-1 48,6 0 0,-1-1 0,-1 0 0,0 0 0,-1 0 0,1-1 0,-2 0 0,1 0 0,-1 0 0,0-1 0,6 1 0,0-1 0,-1 1 0,0-1 0,-1-1 0,1 1 0,-1 0 0,0-1 0,0 1 0,0-1 0,-1 0 0,-2 0 0,0 0 0,-1 0 0,0-1 0,0 0 0,-1 1 0,1-1 0,0 0 0,1 1 0,1-1 0,0 1 0,5 0 0,0 1 0,0-1 0,1 0 0,1 0 0,-1 1 0,1-1 0,1 1 0,-1 0 0,2 0 0,-1 0 0,-3 0 0,0 0 0,1 0 0,0 1 0,1-1 0,0 1 0,0 0 0,1 0 0,1 0 0,1 0 0,-4 0 0,1 1 0,1-1 0,0 1 0,1 0 0,1 0 0,0 1 0,1-1 0,1 1 0,-15-1 0,2 1 0,0 0 0,2 0 0,-1 1 0,2 0 0,-1-1 0,2 1 0,0-1 0,1 1 0,0 0 0,0 0 0,2 1 0,1 1 0,-5 0 0,0 0 0,2 2 0,1-1 0,1 2 0,0 0 18,-9 2 0,2 0 1,1 1-1,1 2 1,1 0-19,7 1 0,1 1 0,1 1 0,2 0 0,0 2 114,-12 3 0,2 2 1,1 1-1,1 0-114,4-1 0,1 1 0,2 0 0,1 0 251,9-1 1,1 0-1,2 0 1,0-1-252,-18 6 0,0-1 0,3-1 0,4-1 0,1-1 0,1-1 0,5-2 0,0 0 0,-1-1 0,-9 1 0,-2 0 0,-1-1 512,15-3 1,-1-1 0,-1-1 0,-1 0-513,-8 0 0,-1 0 0,-2-1 0,-1 0 0,12-3 0,-1 0 0,-1-1 0,-1-1 0,0 1 417,-2-2 1,-1 0-1,-1-1 1,1 0-1,0-1-417,-2 1 0,-1-2 0,1 1 0,1-1 0,2-1 178,-9 0 1,1-1 0,3 0 0,3-1-179,-14-2 0,4 0 0,5-1 0,15-1 0,4-1 0,3 0 569,-17-6 1,2 1-570,-11 0 0,-2 1 0,5 0 0,-1 1 0,0 1 0,0 2 0,2 0 0,1 2 0,6 0 0,2 1 138,6 2 1,2-1-139,8 1 0,2 1 702,6-1 0,1 2-702,4-1 0,1 2 0,-39-2 3414,11 2-3414,15-1 1823,8 1-1823,2 0 1331,2 0-1331,-4 1 588,-3 6-588,3 2 0,2 5 0,3 1 0,8-2 0,5-2 0,18-5 0,7-3 0</inkml:trace>
  <inkml:trace contextRef="#ctx0" brushRef="#br0" timeOffset="1183">1375 4112 24575,'-12'-27'0,"-20"-48"0,6 9 0,0-7 0,-2 1 0,2-1-651,3 3 0,2 4 651,-6-28 424,11 38-424,-1-6 216,3 17-216,3 9 0,2 6 0,3 8 662,3 4-662,2 3 0,4 6 0,0-1 0,1 0 0,-1 1 0,1-1 0,1-2 0,10-2 0,18-7 0,34-12 0,-12 10 0,7-3-1682,24-8 1,8-2 1681,-17 6 0,4 0 0,3 0-1061,-11 4 0,2 0 0,2 0 0,1 0 1061,8-3 0,2 0 0,1 0 0,4 0-826,-9 4 1,3-1-1,1 1 1,0 0-1,-1 0 826,-4 2 0,0 0 0,-1 0 0,1 1 0,1-1 0,5-1 0,2 0 0,0 0 0,0 0 0,-2 1-167,-6 1 1,1 0-1,-2 1 1,-1 0-1,-4 1 167,5-2 0,-4 1 0,-2 0 0,-1 1 0,18-5 0,-3 0 0,-11 4 0,-16 3 0,-11 3 1555,6 0-1555,-39 11 3121,-12 7-3121,1 2 5941,-2 10-5941,3 11 1951,7 13-1951,20 22 0,-6-20 0,5 3-972,9 9 1,5 4 971,12 9 0,3 2-1107,4 2 0,3 1 1107,-21-22 0,1 0 0,0 1-759,2-1 1,0 1 0,0 0 758,1 0 0,-1 0 0,1-1 0,-4-1 0,0-1 0,-1-1-501,17 16 1,-4-2 500,-9-6 0,-3-3 555,-11-9 0,-3-2-555,23 30 1919,-19-16-1919,-17-16 2605,-11-10-2605,-9-8 1432,-16-4-1432,-34-5 0,-45-4 0,8-4 0,-12-2-1384,22 0 0,-5-1 0,-4 0 1384,5 0 0,-3 0 0,-3 0 0,-6 1 0,11 0 0,-4 0 0,-3 1 0,-2 0 0,-1 0 0,-1 0 0,7 1 0,-2 0 0,-1 0 0,0 0 0,-2 0 0,-1 1 0,0-1 0,4 1 0,-2 0 0,-2-1 0,1 1 0,-1 1 0,0-1 0,1 0 0,2 1 0,-7 1 0,0 0 0,1 0 0,1 0 0,1 0 0,3 1 0,2 0 0,-13 1 0,3 0 0,4 1 0,3 0 0,4-1 0,-23 3 0,8 0 0,11 1-148,8 1 1,14-1 147,-7 2 0,44-7 0,7-2 0,11-2 0</inkml:trace>
  <inkml:trace contextRef="#ctx0" brushRef="#br0" timeOffset="2350">7225 3783 24575,'-21'-34'0,"-14"-28"0,8 13 0,-2-5-1812,-9-20 1,-1-5 1811,-3-11 0,0-3-882,10 24 1,0 0-1,0-2 882,-1-3 0,1 0 0,0 0 0,1-1 0,1 1 0,1 0 406,1-1 0,1 0 1,2 3-407,-2-18 0,3 6 0,8 20 0,4 7 0,7-3 1578,25 42-1578,25 9 0,3 1 0,9-3-76,26-6 0,10-4 76,-9 3 0,5-2 0,4 0-1085,-15 4 1,3-1-1,2 1 1,0-1 1084,8-1 0,2 0 0,1 0 0,2-1-762,-15 4 0,2 0 0,0 0 0,0 1 0,-1 0 762,16-3 0,0 0 0,-1 1 0,0 0 0,0 0 0,1 1 0,-1 0 0,-3 0-468,-11 3 0,-2 0 0,-2 1 0,-3 1 468,13-2 0,-3 1 0,-3 0 148,-5 2 0,-3-1 0,-3 2-148,16-3 0,-6 2 1098,-8 0 1,-5 0-1099,-14 2 0,-5 0 4146,23-4-4146,-26 4 3732,-17 3-3732,-12 2 2265,-7 2-2265,-3 3 859,-1 9-859,0 17 0,4 21 0,18 35 0,-10-36 0,4 4 0,5 7 0,5 6 0,3 4-499,0-4 1,2 3 0,2 2-1,1 1 499,4 7 0,1 1 0,2 2 0,-1-1 0,4 7 0,1 1 0,-2-1 0,-2-6 0,1 0 0,-3-5 0,-3-5 0,2 6 0,-8-9 0,3 13 0,-28-47 0,-6 4 0,-30-16 0,-59-5 0,7-11 0,-13-3-1420,7-1 1,-8-1 0,-3-1 1419,13 0 0,-2 0 0,-3 0 0,-1 0-817,-8 0 1,-2-1-1,-2 1 1,-1-1 816,14 1 0,-2-1 0,0 0 0,0 0 0,1 0 0,2 1 0,1-1 0,0 1 0,1 0 0,1-1 0,-15 1 0,1 1 0,1-1 0,2 1-502,11-1 1,1 1 0,2-1 0,3 1 501,-9 1 0,4 0 0,2 0-302,8 0 0,1 1 1,2-1 301,-22 2 0,6 0 1080,18 0 1,6 0-1081,-29 3 0,46-4 0,19-3 0</inkml:trace>
  <inkml:trace contextRef="#ctx0" brushRef="#br0" timeOffset="3559">13392 3270 24575,'-3'-16'0,"-3"-7"0,-10-19 0,-10-23 0,-14-25-1122,12 30 1,-2-3 1121,-2-4 0,-1-3 0,-3-8 0,-1-2-834,-2-4 0,-1-1 834,1-3 0,-1 0 0,-1-1 0,1 2 0,3 8 0,2 3-439,4 7 1,1 4 438,5 8 0,1 4 0,-14-35 0,9 16 1426,12 19-1426,6 15 2277,21 9-2277,36 8 0,47 3 0,-10 7 0,10-2-1206,-13 1 1,5-1 0,4-2 1205,-9 1 0,3-1 0,3 0 0,1-2-1010,-9 2 0,3-1 1,0-1-1,2 0 1,-1 0 1009,4-1 0,2 0 0,-1-1 0,0 0 0,0 1 0,-1-1 0,-1 0 0,0 0 0,0 1 0,-1-1-178,-3 1 1,0-1-1,-1 1 1,-2 0-1,-1 0 178,7 0 0,-1 0 0,-4 1 0,-3 0-205,4 0 1,-5 0 0,-6 3 204,3-2 0,-11 5 2749,-13 9-2749,-33 13 5636,-7 17-5636,10 26 0,11 29 0,-7-26 0,3 4-196,7 14 0,3 4 196,2 3 0,3 2 0,4 6 0,2-1-369,-14-28 0,1-1 1,0 0 368,16 22 0,-1-2 0,1-1 0,0-2-531,-3-8 1,-1-3 530,-4-7 0,-2-3 0,-3-6 0,-2-2 0,20 28 0,-17-21 1731,-14-17-1731,-11-13 2345,-8-9-2345,-28-4 0,-61 7 0,7-5 0,-11 2-1154,6 0 0,-8 1 0,-2 2 1154,15-3 0,-3 1 0,-1 1 0,-2 1-1061,-7 1 0,-1 1 0,-1 1 0,0-1 1061,2 1 0,0 1 0,0-1 0,1 0 0,1 0 0,1-1 0,0 0 0,1 0-604,3 0 0,-1-1 0,2-1 0,3 1 604,-15 2 0,2 0 0,1 0-91,3-1 1,0-1 0,4 0 90,14-3 0,3-2 0,5 0 0,0 0 0,8-2 0,-21 3 0</inkml:trace>
  <inkml:trace contextRef="#ctx0" brushRef="#br0" timeOffset="4643">18634 3227 24575,'0'-23'0,"-12"-21"0,-11-30 0,0 10 0,-3-7-2097,-5-14 0,-1-3 2097,1-2 0,2-2 0,2 0 0,2 0 0,4 8 0,2 0 0,-1-8 0,1 0 0,0 1 0,0 1 0,-1 1 0,-1 3-33,4 11 0,0 4 33,1 11 0,1 4 974,-13-39-974,9 28 0,12 23 0,28 20 0,49 11 0,-4 7 0,10 1-380,-12 1 0,4 1 0,3-2 380,14-1 0,5-2 0,6 0 0,-4 0 0,4-1 0,5-1 0,1 0 0,-11 2 0,3-1 0,1-1 0,1 1 0,0 0-226,-13 0 0,1 1 0,0 0 0,0-1 0,-1 1 0,-2 0 226,10-1 0,1 0 0,-2 0 0,-4 1 0,-4 0-80,23-2 1,-7 1 0,-9 0 79,1 2 0,-13 1 0,8 0 0,-52 3 0,-20 4 2907,-3 4-2907,10 10 2781,10 15-2781,16 18 0,13 23-849,-18-21 0,2 6 849,8 11 0,1 5-992,-12-16 0,1 3 0,-1 2 992,5 7 0,0 3 0,-1 0 0,-2-2 0,-1 2 0,-1-1 0,0 1 0,0 1 0,-2-1 0,-4-7 0,-2 0 0,-1-1 0,10 21 0,-3-2-582,-3-4 1,-3-2 581,-7-12 0,-2-3 0,-4-6 0,-1-3 0,4 29 0,-10-29 1574,-8-18-1574,-21-15 0,-40-10 0,0-5 0,-12-2-417,3-3 1,-8-2 0,-5 1 416,0 0 0,-5 0 0,-3-1 0,-1 1-776,10 0 0,-2-1 0,-1 1 0,-1 0 0,-2 0 776,-7-1 0,-2 1 0,-1 0 0,0 0 0,1 0 0,2 1 0,1 1 0,1-1 0,0 1 0,3-1 0,-8 1 0,3-1 0,0 1 0,1-1-582,2 1 0,0 0 0,2 0 0,2-1 582,-10 1 0,3 0 0,2 0-42,4 0 1,0 0 0,4 0 41,10 0 0,2 0 0,6 1 488,3 1 1,8 0-1,-4 1 1,42 0 0</inkml:trace>
  <inkml:trace contextRef="#ctx0" brushRef="#br0" timeOffset="5526">19745 1818 24575,'-9'13'0,"-2"3"0,-7 11 0,-7 9 0,-3 6 0,0 3 0,0 4 0,4 3 0,2 3 0,7 0 0,6-5 0,6-3 0,1 0 0,2-4 0,-1-6 0,1-7 0,0-8 0,0-3 0,0-4 0,4-3 0,5-4 0,6-5 0,10-2 0,13-1 0,11-14 0,5-14 0,-2-21 0,-16-5 0,-13 5 0,-12 5 0,-7 9 0,-2-2 0,-7 6 0,-7 7 0,-9 8 0,-6 5 0,-5 6 0,-1 2 0,-1 2 0,4 0 0,3 1 0,5 4 0,4 2 0,3 3 0,5-2 0,5-3 0,3-2 0</inkml:trace>
  <inkml:trace contextRef="#ctx0" brushRef="#br0" timeOffset="6309">20350 1746 24575,'0'14'0,"0"1"0,0 5 0,0 2 0,0 2 0,0 0 0,0 0 0,0 0 0,0 1 0,0-2 0,0 1 0,0 0 0,0-3 0,0 0 0,0-6 0,1-3 0,5-4 0,8-5 0,14-9 0,10-22 0,6-31 0,0-21 0,-14 6 0,-10 19 0,-9 26 0,-5 13 0,1 2 0,-2 6 0,-1 10 0,-3 13 0,-7 21 0,-9 16 0,-6 8 0,-3 2 0,3-7 0,4-5 0,2-3 0,3-3 0,2-3 0,4-6 0,2-3 0,3-5 0,0-2 0,1-3 0,0-5 0,0 0 0,-1-3 0,1-1 0,0-7 0,0-2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5:35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55 24575,'0'11'0,"0"0"0,0 3 0,0 5 0,0 2 0,0 5 0,0 0 0,0 1 0,0 0 0,0-2 0,0-2 0,0-1 0,0-5 0,2-3 0,4-5 0,3-4 0,4-4 0,6 0 0,3-3 0,6 0 0,2-3 0,-1-1 0,-1-1 0,-4 1 0,1 1 0,-3 0 0,-3-2 0,-5-7 0,-4-10 0,-4-12 0,-2-6 0,-3 6 0,-2 7 0,-3 8 0,-6 6 0,-6-2 0,-6 1 0,-5 1 0,-4 2 0,-2 2 0,-2 3 0,1 2 0,-1 4 0,2 0 0,2 1 0,1 2 0,4 1 0,5 3 0,2 2 0,4-1 0,2-2 0,2-1 0,2-1 0,0-2 0,2-3 0,3-2 0,2 1 0,1-1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5:52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17750 1739 24575,'0'5'0,"0"2"0,0 7 0,0-3 0,0-1 0,0-1 0,1 1 0,19-1 0,41-2 0,20-4 0,-29-3 0,2 0-471,0 0 1,2 0 470,4 0 0,3 0-1052,16 0 1,4 0 1051,11 0 0,3 0-978,-23 0 1,2 0 0,1 0 977,3 0 0,1 0 0,0 0 0,1 0 0,-1 0 0,0 0 0,0 0 0,0 0 0,-2 0-577,-6-1 1,-3 1-1,0 1 577,27-1 0,-2 2-240,-6-1 1,-3 1 239,-10 0 0,-3 1 0,-5 0 0,-4 0 693,-10-1 0,-4 0-693,29 2 2766,-20-3-2766,-16-2 2227,-11-9-2227,-7-8 1663,-7-6-1663,-2-5 143,-2 1-143,-2 0 0,-2 0 0,-5 3 0,-2 1 0,-2 2 0,0-1 0,-1 1 0,0 1 0,-2-1 0,-2 4 0,-2 0 0,-1 5 0,0 3 0,0 5 0,1 4 0,2 1 0,2 0 0</inkml:trace>
  <inkml:trace contextRef="#ctx0" brushRef="#br0" timeOffset="-15867">4194 762 21008,'-12'0'0,"1"0"1698,-2 4-1698,3 10 603,0 19-603,4 14 309,1 13-309,3-1 957,2-15-957,0-13 0,0-13 0,0-6 0,0 0 0,0-1 0,5-1 0,2-3 0,4-2 0,3-3 0,1-2 0,3 0 0,3-1 0,0-2 0,1-3 0,0 0 0,-2-1 0,-1 1 0,-2 0 0,-1-2 0,-2 1 0,-2 1 0,-1 2 0,-4 1 0,-19 1 0,-24 4 0,-22 5 0,-11 3 0,8 0 0,22-4 0,18-4 0,15-2 0</inkml:trace>
  <inkml:trace contextRef="#ctx0" brushRef="#br0" timeOffset="-14968">4248 753 24575,'20'-4'0,"1"1"0,5 3 0,-1 0 0,-4 0 0,0 0 0,-3 0 0,-2 0 0,-3 3 0,-5 1 0,-2 3 0,-4 5 0,-3 2 0,-6 4 0,-5 0 0,-5 2 0,-5-1 0,1 0 0,0-1 0,5-3 0,4-1 0,4-3 0,4-2 0,2-1 0,2 0 0,1-2 0,8-1 0,10-3 0,9-1 0,8-1 0,-4 0 0,-6 4 0,-7 4 0,-10 3 0,-4 2 0,-4 0 0,-1-1 0,0 2 0,0-1 0,0-1 0,0 0 0,0-1 0,0-1 0,0-2 0,0-6 0,0-9 0,-2-14 0,-7-12 0,5 11 0,-5 2 0</inkml:trace>
  <inkml:trace contextRef="#ctx0" brushRef="#br0" timeOffset="-13967">5555 497 24575,'-8'0'0,"2"0"0,-2 0 0,2 0 0,-1 1 0,-1 5 0,0 6 0,0 5 0,2 4 0,0 5 0,3 0 0,2 1 0,1 1 0,-1-2 0,1 1 0,0-2 0,0-4 0,0-3 0,0-3 0,0-1 0,2-2 0,10-5 0,12-4 0,4-3 0,0 0 0,-4-1 0,-6-3 0,1-2 0,-2-2 0,-3 1 0,-4 0 0,-6 1 0,-8 2 0,-8 1 0,-6 2 0,-3 0 0,0 1 0,0 0 0,2 0 0,2-1 0,3 1 0,7 0 0,3 0 0</inkml:trace>
  <inkml:trace contextRef="#ctx0" brushRef="#br0" timeOffset="-13217">5745 369 24575,'4'-1'0,"-2"5"0,-1 7 0,-1 7 0,0 5 0,0 5 0,0-2 0,0-2 0,0-3 0,0-5 0,0-1 0,3-4 0,4-2 0,5-4 0,4-2 0,2-1 0,0-2 0,-2 0 0,0-1 0,-1-4 0,0-4 0,0-8 0,-2-5 0,2-6 0,1-3 0,-2 3 0,0 12 0,-6 14 0,-5 15 0,-3 10 0,0 4 0,-2 3 0,-1 1 0,-2 0 0,-1 0 0,0-6 0,1-2 0,1-3 0,1-4 0,2-1 0,1-3 0,-1-2 0,1-1 0,0-1 0,-2-1 0,2-3 0,-2-1 0</inkml:trace>
  <inkml:trace contextRef="#ctx0" brushRef="#br0" timeOffset="-11299">8978 429 24575,'4'5'0,"-2"3"0,-1 3 0,-1 18 0,0 14 0,0 14 0,0 0 0,0-17 0,1-16 0,2-15 0,-2-6 0,1-3 0</inkml:trace>
  <inkml:trace contextRef="#ctx0" brushRef="#br0" timeOffset="-10700">9000 309 24575,'15'0'0,"8"4"0,14 8 0,8 9 0,-9 4 0,-12-1 0,-13-3 0,-8-4 0,0 3 0,-1 0 0,-1-1 0,-1-1 0,-3-4 0,-4-1 0,-2-3 0,-6-2 0,1 0 0,0-1 0,1 0 0,0-2 0,3-2 0,6-1 0,9-3 0,11-3 0,5-3 0,4-4 0,1 0 0,0 0 0,0 0 0,3-2 0,0-3 0,-12 7 0,-3 0 0</inkml:trace>
  <inkml:trace contextRef="#ctx0" brushRef="#br0" timeOffset="-10125">9425 229 24575,'18'0'0,"3"0"0,15 0 0,13 0 0,7 0 0,-3 0 0,-14 5 0,-21 5 0,-16 7 0,-7 5 0,-4 2 0,-4 2 0,-2-1 0,-1-1 0,1-2 0,1-2 0,1-3 0,1-2 0,0-2 0,3-3 0,1 0 0,3-2 0,2-3 0,1-1 0</inkml:trace>
  <inkml:trace contextRef="#ctx0" brushRef="#br0" timeOffset="-9667">9501 376 24575,'9'-3'0,"2"0"0,6 3 0,3 0 0,5 0 0,4 0 0,8 0 0,11 0 0,8 0 0,1 0 0,-1 0 0,-7 0 0,-2 0 0,-6 0 0,-9 0 0,-5-2 0,-14 2 0,-2-2 0</inkml:trace>
  <inkml:trace contextRef="#ctx0" brushRef="#br0" timeOffset="-9150">11927 406 11899,'0'11'0,"0"2"4838,0 12-4838,0 19 2206,0 33-2206,0 20 0,0-6 0,0-20 1243,0-29-1243,0-22 0,0-6 0,0-8 0</inkml:trace>
  <inkml:trace contextRef="#ctx0" brushRef="#br0" timeOffset="-7642">12086 699 24575,'7'0'0,"0"3"0,-4 3 0,-1 4 0,-1 3 0,-1 1 0,-2 1 0,-1 3 0,-3 5 0,-5 3 0,-4 5 0,-1 1 0,3-5 0,7-4 0,12-12 0,10-8 0,16-6 0,17-5 0,14-4 0,9-4 0,0 0 0,-4 0 0,-10 3 0,-8 3 0,-11 1 0,-11 1 0,-8 0 0,-8-6 0,-4-8 0,-5-5 0,-2-6 0,-4 0 0,-1 0 0,0 2 0,1 3 0,2 5 0,2 7 0,3 6 0,3 6 0,2 5 0,2 5 0,-3 6 0,-1 10 0,-3 7 0,-12 18 0,-17 15 0,-18 14 0,-11 5 0,11-20 0,14-16 0,16-18 0,7-10 0,1 1 0,2-5 0,1-2 0,4-1 0,4-3 0,5-2 0,8-4 0,3-4 0,1-3 0,0-2 0,-1-1 0,-3 1 0,-3 2 0,-3 2 0,-4-1 0,-10 1 0,-8-4 0,-9-5 0,-6-4 0,-2-5 0,-2-2 0,2-2 0,0-7 0,4-1 0,5-4 0,5-3 0,8 3 0,8 1 0,3 11 0,3 10 0,0 5 0,-4 4 0,1-1 0,-2 1 0,-1-1 0,-2 0 0,0 1 0,1 0 0,1 1 0,2 1 0,1 1 0,0 0 0,1 1 0,3-1 0,1 1 0,5 0 0,1 0 0,-7 2 0,-2 1 0</inkml:trace>
  <inkml:trace contextRef="#ctx0" brushRef="#br0" timeOffset="-6924">15149 517 24575,'-14'5'0,"4"3"0,0 6 0,7 5 0,2-2 0,1-1 0,0-3 0,0 0 0,0 2 0,0 5 0,0 2 0,0 4 0,0 6 0,0 2 0,0 1 0,0-4 0,0-7 0,0-5 0,1-3 0,2-5 0,-1-4 0,1-4 0</inkml:trace>
  <inkml:trace contextRef="#ctx0" brushRef="#br0" timeOffset="-6092">15519 635 24575,'-3'-3'0,"-2"1"0,-7 0 0,-3 2 0,-4 0 0,-1 0 0,0 0 0,1 3 0,2 4 0,1 5 0,4 5 0,4 3 0,4 1 0,3-3 0,0-1 0,1-3 0,4-3 0,12-4 0,13-4 0,12-10 0,-2-3 0,-8-3 0,-6-2 0,-8 4 0,2-1 0,-1 2 0,-3 1 0,-1 2 0,-3 0 0,-4 1 0,-3-1 0,-4 1 0,-4 5 0,-5 6 0,-3 6 0,-3 6 0,0 3 0,1 1 0,4 0 0,4-3 0,2-3 0,3-1 0,1-1 0,-1-1 0,1-1 0,0-3 0,0 0 0,0 0 0,0-4 0,0 0 0</inkml:trace>
  <inkml:trace contextRef="#ctx0" brushRef="#br0" timeOffset="-5275">15807 657 24575,'0'23'0,"0"17"0,0 24 0,0 9 0,0-5 0,0-22 0,0-23 0,0-15 0</inkml:trace>
  <inkml:trace contextRef="#ctx0" brushRef="#br0" timeOffset="-4851">16538 704 24575,'4'4'0,"-1"4"0,-3 5 0,0 8 0,0 7 0,0 5 0,0 4 0,0-1 0,0 2 0,1-1 0,1-4 0,1-5 0,0-7 0,1-6 0,-2-7 0,0-4 0</inkml:trace>
  <inkml:trace contextRef="#ctx0" brushRef="#br0" timeOffset="-4191">17144 595 24575,'2'-8'0,"-6"4"0,-6 0 0,-9 4 0,-5 0 0,-4 0 0,-3 0 0,2 0 0,4 0 0,5 3 0,4 2 0,4 6 0,4 6 0,3 3 0,2 1 0,2-2 0,0 0 0,1-3 0,0-2 0,1-4 0,3-2 0,6-3 0,5-1 0,4-2 0,3-1 0,0-1 0,-1-1 0,0-6 0,-1-5 0,0-6 0,1-3 0,-1 2 0,-3 2 0,0 3 0,-2 3 0,-3 10 0,-3 18 0,-7 12 0,-5 9 0,-2 5 0,-1-5 0,0 5 0,2-3 0,2-2 0,1-4 0,0-7 0,0-12 0,1-6 0</inkml:trace>
  <inkml:trace contextRef="#ctx0" brushRef="#br0" timeOffset="-3532">17254 681 24575,'9'-4'0,"10"2"0,3 0 0,3 2 0,-5 3 0,-10 3 0,-2 5 0,-5 3 0,-5 3 0,-3 3 0,-3 2 0,-3 1 0,0-1 0,1-2 0,0-1 0,3-4 0,1-3 0,1 0 0,2-3 0,2 0 0,6-2 0,11-2 0,11-3 0,18-1 0,6-1 0,6 0 0,8 0 0,6 0 0,1 0 0,-11 0 0,-21 2 0,-24-2 0,-10 2 0</inkml:trace>
  <inkml:trace contextRef="#ctx0" brushRef="#br0" timeOffset="-2633">19608 317 24575,'-5'0'0,"17"0"0,4 0 0,17 0 0,-1 0 0,-4 0 0,-8-2 0,-5 2 0,-9 3 0,-2 4 0,-4 7 0,-3 8 0,-7 8 0,-4 7 0,-3 5 0,-1 2 0,2 1 0,2-4 0,3-3 0,2-6 0,1-6 0,2-5 0,2-5 0,2-4 0,3-3 0,5-4 0,11-5 0,12-8 0,15-6 0,-18 4 0,-1 1 0</inkml:trace>
  <inkml:trace contextRef="#ctx0" brushRef="#br0" timeOffset="-2200">20328 393 24575,'-12'0'0,"1"0"0,1 2 0,5 0 0,1 5 0,3 5 0,0 1 0,1 0 0,0-1 0,0-3 0,0 0 0,4-1 0,9-1 0,9 0 0,7-1 0,6 1 0,0 2 0,-4 0 0,-3 0 0,-8 1 0,-6 1 0,-8-1 0,-12 2 0,2-7 0,-5 0 0</inkml:trace>
  <inkml:trace contextRef="#ctx0" brushRef="#br0" timeOffset="-1850">20402 206 24575,'8'0'0,"-1"0"0,1 0 0,2 0 0,2 0 0,6 0 0,11 0 0,10 0 0,10 0 0,7 0 0,-26 0 0,-7 0 0</inkml:trace>
  <inkml:trace contextRef="#ctx0" brushRef="#br0" timeOffset="-1499">20564 350 24575,'-3'18'0,"6"-6"0,11 0 0,10-5 0,9 2 0,5 0 0,-2 0 0,-1-1 0,-9-1 0,-10-1 0,-6 2 0,-6 2 0,-6-1 0,-7-3 0,4-5 0,-3-1 0</inkml:trace>
  <inkml:trace contextRef="#ctx0" brushRef="#br0" timeOffset="-1125">20647 1 24575,'20'0'0,"-5"0"0,0 0 0,-2 0 0,2 0 0,5 0 0,2 0 0,2 0 0,-2 0 0,-6 0 0,-2 0 0,-5 0 0,-4 0 0,-2 0 0</inkml:trace>
  <inkml:trace contextRef="#ctx0" brushRef="#br0" timeOffset="1383">12379 1826 24575,'7'1'0,"-3"4"0,0 1 0,-4 8 0,0 8 0,0 4 0,0 9 0,0 5 0,0 1 0,0 1 0,0 0 0,0-3 0,0-1 0,0-6 0,0-7 0,0-7 0,13-8 0,71-29 0,-17 3 0,13-4 0,3 0-1276,-11 3 0,2 0 0,3 0 0,1 0 1276,11-2 0,3-1 0,1 1 0,-1 2 0,-6 2 0,0 2 0,-2 1 0,-2 1-1013,14 0 1,-4 1 0,1 1 1012,6 0 0,1 1 0,-1 1 0,-7 1 0,-1 2 0,-1 0 0,-3 1 0,-2 0 0,-1 1-508,-8 0 0,-2 0 0,-1 0 508,25 1 0,-4-1-407,-12 1 1,-2 0 406,-9 0 0,-2 1 1575,-12 0 0,-4-1-1575,31 0 3237,-21-1-3237,-19-2 2310,-14-2-2310,-10-2 1520,-7-5-1520,-5-3 261,-3-4-261,-2-4 0,-2-3 0,-1-2 0,0-1 0,0-2 0,-2-16 0,-1-9 0,-2-6 0,0-1 0,1 11 0,0 2 0,1 5 0,-2 5 0,-2 9 0,-1 10 0,-4 7 0,-3 13 0,6 1 0,1 5 0</inkml:trace>
  <inkml:trace contextRef="#ctx0" brushRef="#br0" timeOffset="2735">5680 1534 24575,'4'12'0,"-1"3"0,-3 11 0,3 10 0,6 13 0,7 15 0,10 10 0,-1 1 0,5-7 0,-3-10 0,-2-7 0,2-4 0,-4-12 0,2-6 0,3-11 0,7-5 0,15-4 0,18-4 0,23-4 0,-9 0 0,11-2 0,-12-2 0,4-2 0,4-1-564,-8 0 1,2-1 0,3-1-1,1 0 564,11-1 0,3 0 0,-1-1 0,-4 0-762,-15 1 0,-1-1 1,-3 1-1,-3 1 762,14-1 0,-4 1 0,-5 2 0,12-2 0,-8 2-293,-26 1 0,-2 0 293,7-2 0,0-1 0,-10 1 0,-3 0 0,45-10-216,-7 0 216,-13-1 0,-7 0 1777,-13 1-1777,-10 0 3243,-12 1-3243,-5 0 779,-6-2-779,-1-5 304,4-9-304,14-17 0,23-21-693,-23 27 0,3-1 693,7-9 0,1-1 0,0 2 0,-1-1 0,0 0 0,0 1 0,-3 2 0,-1 2-181,-6 7 0,-2 1 181,24-32 0,-20 17 0,-14 15 0,-14 14 0,-10 9 1360,-9 9-1360,-6 4 388,-6 3-388,1 4 0,7-2 0,2 2 0</inkml:trace>
  <inkml:trace contextRef="#ctx0" brushRef="#br0" timeOffset="4093">0 2540 24575,'0'13'0,"0"11"0,0 16 0,0 13 0,0 3 0,0-14 0,0-14 0,1-16 0,2-8 0,6 1 0,10-2 0,24-2 0,26 0 0,-19 0 0,5-1-972,15 0 1,4 0 971,14 0 0,6 0-1070,-22 0 0,2 0 0,2 0 1070,8 0 0,2-1 0,2-1-1042,8 0 1,2 0 0,-1-1 1041,-3 0 0,-1 0 0,0 0 0,1 0 0,1 0 0,-1 0 0,-4 0 0,-1 1 0,-1 0-663,-2 1 1,0 0-1,-1 0 663,-3 0 0,-1 0 0,-1 0-26,-9 0 0,-2-1 0,-2 1 26,22 0 0,-4-1 718,-12-1 0,-3 0-718,-5 1 0,-1-2 0,-10-1 0,-2 0 2862,39-9-2862,-8-3 0,-8 0 0,-7 0 2809,-5-2-2809,-13 2 1955,-3 0-1955,-6 1 1139,-5 0-1139,-7-1 142,-4-3-142,-5-7 0,-7-3 0,-6-4 0,-5 6 0,-2 5 0,0 6 0,0 2 0,0-8 0,0-6 0,0-5 0,0-4 0,1 0 0,4 0 0,3-2 0,5-1 0,3 4 0,0 4 0,-2 5 0,-3 8 0,-4 3 0,-1 4 0,-4 6 0,1 3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6:25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1981 0 24575,'-17'0'0,"-10"0"0,-19 0 0,-31 0 0,26 0 0,-4 0-1115,-12 0 1,-2 0 1114,-11 0 0,-1 0 0,-6 0 0,1 0 0,2 0 0,2 0 0,4 0 0,2 0-162,8 0 0,2 0 162,10 0 0,1 0 0,-40 0 0,24 0 0,24 0 0,17 8 1619,13 45-1619,11 10 0,3 12 0,-1-11 0,-1 4 0,1 3-852,-1 10 0,0 2 0,-1 1 852,-1 3 0,-2 1 0,0-1 0,-2-1 0,0-1 0,-1 2-1160,1 5 1,-1 1 0,1 1 1159,2-20 0,0 1 0,0 0 0,0 0-828,1 2 1,-1 1 0,1 0 0,1 1 827,-1 7 0,0 1 0,1 1 0,0 1-695,-1 5 1,0 2 0,1 0 0,0 0 694,0 0 0,0 0 0,1 0 0,0-1 0,0 1 0,1 0 0,0-1 0,1-2-71,0-11 1,0-1 0,1-1-1,0-2 71,0 17 0,1-2 0,0-2 167,0-5 0,0-2 1,1-2-168,0-10 0,0-3 0,1-1 862,-1 26 1,0-4-863,1-14 0,-1-4 1687,1-13 1,0-5-1688,0 29 3224,-1-18-3224,1-10 2795,0-1-2795,0-1 1511,0-5-1511,0-4 204,-1 1-204,-1 14 0,-2 5 0,-3 9 0,0-1 0,2-10 0,-1-3 0,-3 6 0,0 2 0,-1 12 0,2 1 0,4-9 0,1-4 0,3-21 0,1-15 0,2-12 0,2-7 0,2 1 0,-1-2 0,2 0 0,0 1 0,1-1 0,0 1 0,0-1 0,-1 2 0,1 3 0,5 2 0,5 7 0,7 4 0,6 5 0,5 8 0,14 8 0,11 3 0,4-2 0,6-5 0,-6-10 0,0-7 0,3-5 0,13-6-599,10-3 599,-42-10 0,1 0 0,47 1 0,-4-4 0,-3-1 0,-1-1 0,-39-1 0,0-1 0,2-2 0,-1-2 0,1-1 0,0-1 0,42-13 0,-20 2 0,-23 3 0,-18 5 0,-18 6 0,-10 4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6:35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0 176 24575,'16'0'0,"2"0"0,27-3 0,22-3 0,16-4-366,-33 4 1,2 0 365,-2 0 0,0 1 0,4 0 0,2 0 0,2 1 0,1 1-457,4-1 1,1 0 456,4 0 0,1-1 0,5-1 0,1-1 0,-1-1 0,0 0 0,0-1 0,-1 0 0,-6 2 0,-1-1 0,-10 1 0,-2 1 0,40-4 0,-26 4 0,-16 1 0,-15 3 521,-9 1-521,-10 2 0,-9 0 0,-6 1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6:36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78 24575,'25'0'0,"16"0"0,42 0 0,-28 0 0,5 0-1910,15 0 0,4 0 1910,10-1 0,4-1-618,-27 0 1,2 0 0,-1-1 617,1 0 0,0 0 0,-1 0 0,29-2 0,-1 0 3,-10 1 1,-3 1-4,-11-1 0,-2 0-303,-6 0 1,-3-1 302,39-4 1544,-22 1-1544,-24 5 2368,-13 0-2368,-14 2 380,-7 1 0,-10 0 0,-4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2T09:46:37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24575,'14'-5'0,"25"2"0,30 1 0,-17 2 0,5 0-2015,19 0 1,6 0 2014,11 0 0,3 0-818,-23 0 0,1 0 0,2 0 818,5 0 0,2 0 0,-1 0 0,-7 0 0,0 0 0,-1 0-150,-1 0 1,1 0 0,-2 0 149,28 0 0,-4 0-512,-13 0 0,-2 0 512,-7 0 0,-4 0 635,-12 0 1,-4 0-636,28 0 2653,-22 0-2653,-19 0 560,-13 0 0,-15 0 0,-4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2B9F-0FA4-9543-93FB-61A1A3D6A1AF}">
  <dimension ref="B2:T14"/>
  <sheetViews>
    <sheetView zoomScale="106" workbookViewId="0">
      <selection activeCell="B4" sqref="B4:G7"/>
    </sheetView>
  </sheetViews>
  <sheetFormatPr baseColWidth="10" defaultRowHeight="16" x14ac:dyDescent="0.2"/>
  <sheetData>
    <row r="2" spans="2:20" ht="17" thickBot="1" x14ac:dyDescent="0.25">
      <c r="B2" t="s">
        <v>77</v>
      </c>
    </row>
    <row r="3" spans="2:20" ht="20" thickBot="1" x14ac:dyDescent="0.25">
      <c r="O3" s="15" t="s">
        <v>5</v>
      </c>
      <c r="P3" s="16" t="s">
        <v>6</v>
      </c>
      <c r="Q3" s="16" t="s">
        <v>7</v>
      </c>
      <c r="R3" s="16" t="s">
        <v>8</v>
      </c>
      <c r="S3" s="11"/>
      <c r="T3" s="17" t="s">
        <v>78</v>
      </c>
    </row>
    <row r="4" spans="2:20" x14ac:dyDescent="0.2">
      <c r="B4" s="18" t="s">
        <v>79</v>
      </c>
      <c r="C4" s="19">
        <v>0</v>
      </c>
      <c r="D4" s="19">
        <v>0</v>
      </c>
      <c r="E4" s="19">
        <v>0</v>
      </c>
      <c r="F4" s="20">
        <v>0</v>
      </c>
      <c r="H4" s="18">
        <v>127</v>
      </c>
      <c r="I4" s="19">
        <v>255</v>
      </c>
      <c r="J4" s="19">
        <v>255</v>
      </c>
      <c r="K4" s="20">
        <v>255</v>
      </c>
      <c r="M4" s="21" t="s">
        <v>80</v>
      </c>
      <c r="O4" s="22">
        <v>0</v>
      </c>
      <c r="P4" s="23">
        <v>0</v>
      </c>
      <c r="Q4" s="23">
        <v>0</v>
      </c>
      <c r="R4" s="23">
        <v>0</v>
      </c>
      <c r="S4" s="23">
        <f>SUM(O4:R4)</f>
        <v>0</v>
      </c>
      <c r="T4" s="24">
        <v>0</v>
      </c>
    </row>
    <row r="5" spans="2:20" x14ac:dyDescent="0.2">
      <c r="B5" s="25" t="s">
        <v>81</v>
      </c>
      <c r="C5" s="26">
        <v>128</v>
      </c>
      <c r="D5" s="26">
        <v>0</v>
      </c>
      <c r="E5" s="26">
        <v>0</v>
      </c>
      <c r="F5" s="27">
        <v>0</v>
      </c>
      <c r="H5" s="25">
        <v>191</v>
      </c>
      <c r="I5" s="26">
        <v>255</v>
      </c>
      <c r="J5" s="26">
        <v>255</v>
      </c>
      <c r="K5" s="27">
        <v>255</v>
      </c>
      <c r="M5" s="28" t="s">
        <v>82</v>
      </c>
      <c r="O5" s="25">
        <f>2^7</f>
        <v>128</v>
      </c>
      <c r="P5" s="26">
        <v>0</v>
      </c>
      <c r="Q5" s="26">
        <v>0</v>
      </c>
      <c r="R5" s="26">
        <v>0</v>
      </c>
      <c r="S5" s="26">
        <f t="shared" ref="S5:S8" si="0">SUM(O5:R5)</f>
        <v>128</v>
      </c>
      <c r="T5" s="27">
        <v>10</v>
      </c>
    </row>
    <row r="6" spans="2:20" x14ac:dyDescent="0.2">
      <c r="B6" s="29" t="s">
        <v>83</v>
      </c>
      <c r="C6" s="30">
        <v>192</v>
      </c>
      <c r="D6" s="30">
        <v>0</v>
      </c>
      <c r="E6" s="30">
        <v>0</v>
      </c>
      <c r="F6" s="31">
        <v>0</v>
      </c>
      <c r="H6" s="29">
        <v>223</v>
      </c>
      <c r="I6" s="30">
        <v>255</v>
      </c>
      <c r="J6" s="30">
        <v>255</v>
      </c>
      <c r="K6" s="31">
        <v>255</v>
      </c>
      <c r="M6" s="32" t="s">
        <v>84</v>
      </c>
      <c r="O6" s="29">
        <f>2^7</f>
        <v>128</v>
      </c>
      <c r="P6" s="30">
        <f>2^6</f>
        <v>64</v>
      </c>
      <c r="Q6" s="30">
        <v>0</v>
      </c>
      <c r="R6" s="30">
        <v>0</v>
      </c>
      <c r="S6" s="30">
        <f t="shared" si="0"/>
        <v>192</v>
      </c>
      <c r="T6" s="31">
        <v>110</v>
      </c>
    </row>
    <row r="7" spans="2:20" x14ac:dyDescent="0.2">
      <c r="B7" s="33" t="s">
        <v>85</v>
      </c>
      <c r="C7" s="34">
        <v>224</v>
      </c>
      <c r="D7" s="34">
        <v>0</v>
      </c>
      <c r="E7" s="34">
        <v>0</v>
      </c>
      <c r="F7" s="35">
        <v>0</v>
      </c>
      <c r="H7" s="33">
        <v>239</v>
      </c>
      <c r="I7" s="34">
        <v>255</v>
      </c>
      <c r="J7" s="34">
        <v>255</v>
      </c>
      <c r="K7" s="35">
        <v>255</v>
      </c>
      <c r="M7" s="36" t="s">
        <v>86</v>
      </c>
      <c r="O7" s="33">
        <f>2^7</f>
        <v>128</v>
      </c>
      <c r="P7" s="34">
        <f>2^6</f>
        <v>64</v>
      </c>
      <c r="Q7" s="34">
        <f>2^5</f>
        <v>32</v>
      </c>
      <c r="R7" s="34">
        <v>0</v>
      </c>
      <c r="S7" s="34">
        <f t="shared" si="0"/>
        <v>224</v>
      </c>
      <c r="T7" s="35" t="s">
        <v>86</v>
      </c>
    </row>
    <row r="8" spans="2:20" ht="17" thickBot="1" x14ac:dyDescent="0.25">
      <c r="B8" s="37" t="s">
        <v>87</v>
      </c>
      <c r="C8" s="38">
        <v>240</v>
      </c>
      <c r="D8" s="38">
        <v>0</v>
      </c>
      <c r="E8" s="38">
        <v>0</v>
      </c>
      <c r="F8" s="39">
        <v>0</v>
      </c>
      <c r="H8" s="37">
        <v>255</v>
      </c>
      <c r="I8" s="38">
        <v>255</v>
      </c>
      <c r="J8" s="38">
        <v>255</v>
      </c>
      <c r="K8" s="39">
        <v>255</v>
      </c>
      <c r="M8" s="40" t="s">
        <v>86</v>
      </c>
      <c r="O8" s="37">
        <f>2^7</f>
        <v>128</v>
      </c>
      <c r="P8" s="38">
        <f>2^6</f>
        <v>64</v>
      </c>
      <c r="Q8" s="38">
        <f>2^5</f>
        <v>32</v>
      </c>
      <c r="R8" s="38">
        <f>2^4</f>
        <v>16</v>
      </c>
      <c r="S8" s="38">
        <f t="shared" si="0"/>
        <v>240</v>
      </c>
      <c r="T8" s="39" t="s">
        <v>86</v>
      </c>
    </row>
    <row r="13" spans="2:20" x14ac:dyDescent="0.2">
      <c r="C13" t="s">
        <v>98</v>
      </c>
    </row>
    <row r="14" spans="2:20" x14ac:dyDescent="0.2">
      <c r="C14">
        <f>256+256</f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5C02-8403-AB4B-B2E2-08E05F37D69B}">
  <dimension ref="B2:R33"/>
  <sheetViews>
    <sheetView topLeftCell="A6" workbookViewId="0">
      <selection activeCell="J33" sqref="J33"/>
    </sheetView>
  </sheetViews>
  <sheetFormatPr baseColWidth="10" defaultRowHeight="16" x14ac:dyDescent="0.2"/>
  <cols>
    <col min="3" max="3" width="16.6640625" bestFit="1" customWidth="1"/>
    <col min="4" max="4" width="22.1640625" customWidth="1"/>
  </cols>
  <sheetData>
    <row r="2" spans="2:18" x14ac:dyDescent="0.2">
      <c r="C2">
        <v>192</v>
      </c>
      <c r="D2">
        <v>168</v>
      </c>
      <c r="E2">
        <v>10</v>
      </c>
      <c r="F2">
        <v>5</v>
      </c>
      <c r="G2" t="s">
        <v>88</v>
      </c>
      <c r="J2" s="43">
        <v>192</v>
      </c>
      <c r="K2" s="43">
        <v>168</v>
      </c>
      <c r="L2" s="43">
        <v>10</v>
      </c>
      <c r="M2" s="34">
        <v>5</v>
      </c>
      <c r="N2" t="s">
        <v>105</v>
      </c>
    </row>
    <row r="3" spans="2:18" x14ac:dyDescent="0.2">
      <c r="B3" t="s">
        <v>84</v>
      </c>
      <c r="C3">
        <v>255</v>
      </c>
      <c r="D3">
        <v>255</v>
      </c>
      <c r="E3">
        <v>255</v>
      </c>
      <c r="F3">
        <v>0</v>
      </c>
      <c r="G3" t="s">
        <v>89</v>
      </c>
      <c r="J3">
        <v>255</v>
      </c>
      <c r="K3">
        <v>255</v>
      </c>
      <c r="L3">
        <v>255</v>
      </c>
      <c r="M3">
        <v>0</v>
      </c>
      <c r="N3" t="s">
        <v>99</v>
      </c>
      <c r="Q3" t="s">
        <v>99</v>
      </c>
      <c r="R3" t="s">
        <v>100</v>
      </c>
    </row>
    <row r="4" spans="2:18" x14ac:dyDescent="0.2">
      <c r="D4" t="s">
        <v>48</v>
      </c>
      <c r="F4" t="s">
        <v>90</v>
      </c>
      <c r="Q4" t="s">
        <v>109</v>
      </c>
      <c r="R4" t="s">
        <v>110</v>
      </c>
    </row>
    <row r="5" spans="2:18" x14ac:dyDescent="0.2">
      <c r="Q5" t="s">
        <v>101</v>
      </c>
      <c r="R5" t="s">
        <v>111</v>
      </c>
    </row>
    <row r="6" spans="2:18" x14ac:dyDescent="0.2">
      <c r="J6">
        <v>192</v>
      </c>
      <c r="K6">
        <v>168</v>
      </c>
      <c r="L6">
        <v>10</v>
      </c>
      <c r="M6">
        <v>50</v>
      </c>
    </row>
    <row r="7" spans="2:18" x14ac:dyDescent="0.2">
      <c r="C7" t="s">
        <v>91</v>
      </c>
      <c r="D7" t="s">
        <v>13</v>
      </c>
    </row>
    <row r="8" spans="2:18" x14ac:dyDescent="0.2">
      <c r="C8" t="s">
        <v>92</v>
      </c>
      <c r="D8" t="s">
        <v>15</v>
      </c>
      <c r="J8">
        <v>192</v>
      </c>
      <c r="K8">
        <v>168</v>
      </c>
      <c r="L8">
        <v>10</v>
      </c>
      <c r="M8">
        <v>0</v>
      </c>
    </row>
    <row r="9" spans="2:18" x14ac:dyDescent="0.2">
      <c r="C9" t="s">
        <v>93</v>
      </c>
      <c r="D9" t="s">
        <v>32</v>
      </c>
      <c r="J9">
        <v>192</v>
      </c>
      <c r="K9">
        <v>168</v>
      </c>
      <c r="L9">
        <v>10</v>
      </c>
      <c r="M9">
        <v>255</v>
      </c>
    </row>
    <row r="10" spans="2:18" x14ac:dyDescent="0.2">
      <c r="C10" t="s">
        <v>94</v>
      </c>
      <c r="D10" t="s">
        <v>41</v>
      </c>
    </row>
    <row r="12" spans="2:18" x14ac:dyDescent="0.2">
      <c r="I12" t="s">
        <v>106</v>
      </c>
      <c r="J12" t="s">
        <v>13</v>
      </c>
    </row>
    <row r="13" spans="2:18" x14ac:dyDescent="0.2">
      <c r="D13">
        <v>255</v>
      </c>
      <c r="E13">
        <v>255</v>
      </c>
      <c r="F13">
        <v>0</v>
      </c>
      <c r="G13">
        <v>0</v>
      </c>
      <c r="I13" t="s">
        <v>107</v>
      </c>
      <c r="J13" t="s">
        <v>108</v>
      </c>
    </row>
    <row r="14" spans="2:18" x14ac:dyDescent="0.2">
      <c r="I14" t="s">
        <v>93</v>
      </c>
      <c r="J14" t="s">
        <v>32</v>
      </c>
    </row>
    <row r="15" spans="2:18" x14ac:dyDescent="0.2">
      <c r="C15" t="s">
        <v>95</v>
      </c>
      <c r="D15">
        <v>254</v>
      </c>
      <c r="I15" t="s">
        <v>94</v>
      </c>
      <c r="J15" t="s">
        <v>41</v>
      </c>
    </row>
    <row r="16" spans="2:18" x14ac:dyDescent="0.2">
      <c r="C16" t="s">
        <v>96</v>
      </c>
      <c r="D16">
        <v>254</v>
      </c>
    </row>
    <row r="18" spans="3:13" x14ac:dyDescent="0.2">
      <c r="C18">
        <v>255</v>
      </c>
      <c r="D18">
        <v>0</v>
      </c>
      <c r="E18">
        <v>0</v>
      </c>
      <c r="F18">
        <v>0</v>
      </c>
      <c r="G18" t="s">
        <v>80</v>
      </c>
    </row>
    <row r="19" spans="3:13" x14ac:dyDescent="0.2">
      <c r="C19">
        <v>255</v>
      </c>
      <c r="D19">
        <v>255</v>
      </c>
      <c r="E19">
        <v>0</v>
      </c>
      <c r="F19">
        <v>0</v>
      </c>
      <c r="G19" t="s">
        <v>82</v>
      </c>
      <c r="J19">
        <v>255</v>
      </c>
      <c r="K19">
        <v>255</v>
      </c>
      <c r="L19">
        <v>0</v>
      </c>
      <c r="M19">
        <v>0</v>
      </c>
    </row>
    <row r="20" spans="3:13" x14ac:dyDescent="0.2">
      <c r="C20">
        <v>255</v>
      </c>
      <c r="D20">
        <v>255</v>
      </c>
      <c r="E20">
        <v>255</v>
      </c>
      <c r="F20">
        <v>0</v>
      </c>
      <c r="G20" t="s">
        <v>84</v>
      </c>
    </row>
    <row r="27" spans="3:13" x14ac:dyDescent="0.2">
      <c r="C27" t="s">
        <v>99</v>
      </c>
      <c r="D27" t="s">
        <v>100</v>
      </c>
    </row>
    <row r="28" spans="3:13" x14ac:dyDescent="0.2">
      <c r="C28" t="s">
        <v>101</v>
      </c>
      <c r="D28" t="s">
        <v>102</v>
      </c>
    </row>
    <row r="29" spans="3:13" x14ac:dyDescent="0.2">
      <c r="C29" t="s">
        <v>103</v>
      </c>
      <c r="D29" t="s">
        <v>104</v>
      </c>
    </row>
    <row r="33" spans="10:10" x14ac:dyDescent="0.2">
      <c r="J33" t="s">
        <v>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76D9-BC57-E24D-8930-971F16BDB6AB}">
  <dimension ref="E1:AG44"/>
  <sheetViews>
    <sheetView topLeftCell="N1" zoomScale="137" workbookViewId="0">
      <selection activeCell="T1" sqref="T1:V1"/>
    </sheetView>
  </sheetViews>
  <sheetFormatPr baseColWidth="10" defaultRowHeight="16" x14ac:dyDescent="0.2"/>
  <cols>
    <col min="5" max="5" width="16" bestFit="1" customWidth="1"/>
    <col min="7" max="7" width="15.33203125" customWidth="1"/>
    <col min="8" max="8" width="16.33203125" customWidth="1"/>
    <col min="10" max="10" width="16.5" customWidth="1"/>
    <col min="11" max="11" width="17.5" customWidth="1"/>
    <col min="12" max="12" width="34.5" bestFit="1" customWidth="1"/>
    <col min="13" max="13" width="9.1640625" bestFit="1" customWidth="1"/>
    <col min="14" max="14" width="17.5" bestFit="1" customWidth="1"/>
    <col min="15" max="17" width="13.6640625" bestFit="1" customWidth="1"/>
  </cols>
  <sheetData>
    <row r="1" spans="5:33" ht="19" x14ac:dyDescent="0.2">
      <c r="E1" s="44" t="s">
        <v>2</v>
      </c>
      <c r="F1" s="45"/>
      <c r="G1" s="45"/>
      <c r="H1" s="45"/>
      <c r="I1" s="3"/>
      <c r="N1" t="s">
        <v>97</v>
      </c>
      <c r="T1" s="2" t="s">
        <v>5</v>
      </c>
      <c r="U1" s="2" t="s">
        <v>6</v>
      </c>
      <c r="V1" s="2" t="s">
        <v>7</v>
      </c>
      <c r="W1" s="2" t="s">
        <v>8</v>
      </c>
      <c r="X1" s="2" t="s">
        <v>9</v>
      </c>
      <c r="Y1" s="2" t="s">
        <v>10</v>
      </c>
      <c r="Z1" s="2" t="s">
        <v>11</v>
      </c>
      <c r="AA1" s="2" t="s">
        <v>12</v>
      </c>
    </row>
    <row r="2" spans="5:33" x14ac:dyDescent="0.2">
      <c r="E2" s="4">
        <v>192</v>
      </c>
      <c r="F2">
        <v>168</v>
      </c>
      <c r="G2">
        <v>10</v>
      </c>
      <c r="H2">
        <v>1</v>
      </c>
      <c r="I2" s="5"/>
      <c r="T2">
        <f>2^7</f>
        <v>128</v>
      </c>
      <c r="U2">
        <f>2^6</f>
        <v>64</v>
      </c>
      <c r="V2">
        <f>2^5</f>
        <v>32</v>
      </c>
      <c r="W2">
        <f>2^4</f>
        <v>16</v>
      </c>
      <c r="X2">
        <f>2^3</f>
        <v>8</v>
      </c>
      <c r="Y2">
        <f>2^2</f>
        <v>4</v>
      </c>
      <c r="Z2">
        <f>2^1</f>
        <v>2</v>
      </c>
      <c r="AA2">
        <f>2^0</f>
        <v>1</v>
      </c>
    </row>
    <row r="3" spans="5:33" x14ac:dyDescent="0.2">
      <c r="E3" s="4">
        <v>255</v>
      </c>
      <c r="F3">
        <v>255</v>
      </c>
      <c r="G3">
        <v>255</v>
      </c>
      <c r="H3">
        <v>255</v>
      </c>
      <c r="I3" s="5"/>
      <c r="K3">
        <v>1</v>
      </c>
      <c r="L3" t="s">
        <v>18</v>
      </c>
      <c r="N3" t="s">
        <v>17</v>
      </c>
      <c r="O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G3" t="s">
        <v>59</v>
      </c>
    </row>
    <row r="4" spans="5:33" x14ac:dyDescent="0.2">
      <c r="E4" s="4">
        <v>8</v>
      </c>
      <c r="F4">
        <v>8</v>
      </c>
      <c r="G4">
        <v>8</v>
      </c>
      <c r="H4">
        <v>8</v>
      </c>
      <c r="I4" s="5" t="s">
        <v>1</v>
      </c>
      <c r="N4" t="s">
        <v>16</v>
      </c>
      <c r="O4">
        <f>2^O3</f>
        <v>2</v>
      </c>
    </row>
    <row r="5" spans="5:33" x14ac:dyDescent="0.2">
      <c r="E5" s="4"/>
      <c r="I5" s="5"/>
      <c r="AB5" s="2" t="s">
        <v>2</v>
      </c>
      <c r="AC5">
        <v>255</v>
      </c>
      <c r="AD5">
        <v>255</v>
      </c>
      <c r="AE5">
        <v>255</v>
      </c>
      <c r="AF5">
        <v>0</v>
      </c>
    </row>
    <row r="6" spans="5:33" x14ac:dyDescent="0.2">
      <c r="E6" s="4">
        <v>255</v>
      </c>
      <c r="F6">
        <v>255</v>
      </c>
      <c r="G6">
        <v>255</v>
      </c>
      <c r="H6">
        <v>0</v>
      </c>
      <c r="I6" s="5"/>
      <c r="AC6">
        <v>11111111</v>
      </c>
      <c r="AD6">
        <v>11111111</v>
      </c>
      <c r="AE6">
        <v>11111111</v>
      </c>
      <c r="AF6" s="41" t="s">
        <v>117</v>
      </c>
      <c r="AG6" t="s">
        <v>58</v>
      </c>
    </row>
    <row r="7" spans="5:33" x14ac:dyDescent="0.2">
      <c r="E7" s="4">
        <v>8</v>
      </c>
      <c r="F7">
        <v>8</v>
      </c>
      <c r="G7">
        <v>8</v>
      </c>
      <c r="H7">
        <v>0</v>
      </c>
      <c r="I7" s="5" t="s">
        <v>3</v>
      </c>
      <c r="J7" s="1"/>
      <c r="K7">
        <v>2</v>
      </c>
      <c r="L7" t="s">
        <v>20</v>
      </c>
      <c r="N7" t="s">
        <v>19</v>
      </c>
      <c r="O7" t="s">
        <v>22</v>
      </c>
    </row>
    <row r="8" spans="5:33" x14ac:dyDescent="0.2">
      <c r="E8" s="4"/>
      <c r="I8" s="5"/>
      <c r="O8" t="s">
        <v>23</v>
      </c>
    </row>
    <row r="9" spans="5:33" x14ac:dyDescent="0.2">
      <c r="E9" s="4" t="s">
        <v>4</v>
      </c>
      <c r="F9" t="s">
        <v>13</v>
      </c>
      <c r="I9" s="5"/>
      <c r="Y9" t="s">
        <v>59</v>
      </c>
    </row>
    <row r="10" spans="5:33" ht="17" thickBot="1" x14ac:dyDescent="0.25">
      <c r="E10" s="6" t="s">
        <v>14</v>
      </c>
      <c r="F10" s="7" t="s">
        <v>15</v>
      </c>
      <c r="G10" s="7"/>
      <c r="H10" s="7"/>
      <c r="I10" s="8"/>
      <c r="K10">
        <v>3</v>
      </c>
      <c r="L10" t="s">
        <v>21</v>
      </c>
      <c r="M10" s="9" t="s">
        <v>23</v>
      </c>
      <c r="N10">
        <v>255</v>
      </c>
      <c r="O10">
        <v>255</v>
      </c>
      <c r="P10">
        <v>255</v>
      </c>
      <c r="Q10">
        <f>T2</f>
        <v>128</v>
      </c>
      <c r="U10">
        <v>255</v>
      </c>
      <c r="V10">
        <v>255</v>
      </c>
      <c r="W10">
        <v>255</v>
      </c>
      <c r="X10">
        <v>0</v>
      </c>
      <c r="AB10" t="s">
        <v>115</v>
      </c>
      <c r="AC10">
        <v>255</v>
      </c>
      <c r="AD10">
        <v>255</v>
      </c>
      <c r="AE10">
        <v>0</v>
      </c>
      <c r="AF10">
        <v>0</v>
      </c>
    </row>
    <row r="11" spans="5:33" x14ac:dyDescent="0.2">
      <c r="U11">
        <v>11111111</v>
      </c>
      <c r="V11">
        <v>11111111</v>
      </c>
      <c r="W11">
        <v>11111111</v>
      </c>
      <c r="X11" s="41" t="s">
        <v>113</v>
      </c>
      <c r="Y11" t="s">
        <v>84</v>
      </c>
      <c r="AC11">
        <v>11111111</v>
      </c>
      <c r="AD11">
        <v>11111111</v>
      </c>
      <c r="AE11" s="41" t="s">
        <v>113</v>
      </c>
      <c r="AF11" s="41" t="s">
        <v>113</v>
      </c>
      <c r="AG11" t="s">
        <v>82</v>
      </c>
    </row>
    <row r="13" spans="5:33" x14ac:dyDescent="0.2">
      <c r="K13">
        <v>4</v>
      </c>
      <c r="L13" t="s">
        <v>24</v>
      </c>
      <c r="N13" t="s">
        <v>25</v>
      </c>
      <c r="O13">
        <f>256-Q10</f>
        <v>128</v>
      </c>
      <c r="U13">
        <v>11111111</v>
      </c>
      <c r="V13">
        <v>11111111</v>
      </c>
      <c r="W13">
        <v>11111111</v>
      </c>
      <c r="X13" s="41" t="s">
        <v>114</v>
      </c>
      <c r="Y13" t="s">
        <v>23</v>
      </c>
    </row>
    <row r="14" spans="5:33" x14ac:dyDescent="0.2">
      <c r="U14">
        <v>255</v>
      </c>
      <c r="V14">
        <v>255</v>
      </c>
      <c r="W14">
        <v>255</v>
      </c>
      <c r="X14">
        <v>128</v>
      </c>
    </row>
    <row r="15" spans="5:33" x14ac:dyDescent="0.2">
      <c r="K15">
        <v>5</v>
      </c>
      <c r="L15" t="s">
        <v>26</v>
      </c>
      <c r="N15">
        <v>0</v>
      </c>
      <c r="AB15" t="s">
        <v>116</v>
      </c>
      <c r="AC15">
        <v>255</v>
      </c>
      <c r="AD15">
        <v>0</v>
      </c>
      <c r="AE15">
        <v>0</v>
      </c>
      <c r="AF15">
        <v>0</v>
      </c>
    </row>
    <row r="16" spans="5:33" x14ac:dyDescent="0.2">
      <c r="N16">
        <v>128</v>
      </c>
      <c r="U16">
        <v>255</v>
      </c>
      <c r="V16">
        <v>255</v>
      </c>
      <c r="W16">
        <v>0</v>
      </c>
      <c r="X16">
        <v>0</v>
      </c>
      <c r="Y16" t="s">
        <v>82</v>
      </c>
      <c r="AC16">
        <v>11111111</v>
      </c>
      <c r="AD16" s="41" t="s">
        <v>113</v>
      </c>
      <c r="AE16" s="41" t="s">
        <v>113</v>
      </c>
      <c r="AF16" s="41" t="s">
        <v>113</v>
      </c>
      <c r="AG16" t="s">
        <v>80</v>
      </c>
    </row>
    <row r="17" spans="13:32" x14ac:dyDescent="0.2">
      <c r="U17">
        <v>255</v>
      </c>
      <c r="V17">
        <v>0</v>
      </c>
      <c r="W17">
        <v>0</v>
      </c>
      <c r="X17">
        <v>0</v>
      </c>
      <c r="Y17" t="s">
        <v>80</v>
      </c>
    </row>
    <row r="18" spans="13:32" ht="17" thickBot="1" x14ac:dyDescent="0.25"/>
    <row r="19" spans="13:32" x14ac:dyDescent="0.2">
      <c r="M19" s="10" t="s">
        <v>31</v>
      </c>
      <c r="N19" s="11" t="s">
        <v>30</v>
      </c>
      <c r="O19" s="11" t="s">
        <v>27</v>
      </c>
      <c r="P19" s="11" t="s">
        <v>28</v>
      </c>
      <c r="Q19" s="3" t="s">
        <v>29</v>
      </c>
    </row>
    <row r="20" spans="13:32" x14ac:dyDescent="0.2">
      <c r="M20" s="4">
        <v>1</v>
      </c>
      <c r="N20" t="s">
        <v>13</v>
      </c>
      <c r="O20" t="s">
        <v>32</v>
      </c>
      <c r="P20" t="s">
        <v>34</v>
      </c>
      <c r="Q20" s="5" t="s">
        <v>33</v>
      </c>
    </row>
    <row r="21" spans="13:32" ht="17" thickBot="1" x14ac:dyDescent="0.25">
      <c r="M21" s="6">
        <v>2</v>
      </c>
      <c r="N21" s="7" t="s">
        <v>35</v>
      </c>
      <c r="O21" s="7" t="s">
        <v>36</v>
      </c>
      <c r="P21" s="7" t="s">
        <v>41</v>
      </c>
      <c r="Q21" s="8" t="s">
        <v>15</v>
      </c>
    </row>
    <row r="23" spans="13:32" x14ac:dyDescent="0.2">
      <c r="AC23">
        <v>255</v>
      </c>
      <c r="AD23">
        <v>255</v>
      </c>
      <c r="AE23">
        <v>255</v>
      </c>
      <c r="AF23">
        <v>192</v>
      </c>
    </row>
    <row r="24" spans="13:32" x14ac:dyDescent="0.2">
      <c r="AC24">
        <v>11111111</v>
      </c>
      <c r="AD24">
        <v>11111111</v>
      </c>
      <c r="AE24">
        <v>11111111</v>
      </c>
      <c r="AF24" s="41" t="s">
        <v>118</v>
      </c>
    </row>
    <row r="27" spans="13:32" x14ac:dyDescent="0.2">
      <c r="P27" s="41"/>
    </row>
    <row r="28" spans="13:32" x14ac:dyDescent="0.2">
      <c r="AC28">
        <f>256-192</f>
        <v>64</v>
      </c>
    </row>
    <row r="29" spans="13:32" x14ac:dyDescent="0.2">
      <c r="AC29">
        <v>0</v>
      </c>
      <c r="AD29">
        <v>63</v>
      </c>
    </row>
    <row r="30" spans="13:32" x14ac:dyDescent="0.2">
      <c r="AC30">
        <v>64</v>
      </c>
      <c r="AD30">
        <v>127</v>
      </c>
    </row>
    <row r="31" spans="13:32" x14ac:dyDescent="0.2">
      <c r="AC31">
        <v>128</v>
      </c>
      <c r="AD31">
        <v>191</v>
      </c>
    </row>
    <row r="32" spans="13:32" x14ac:dyDescent="0.2">
      <c r="AC32">
        <v>192</v>
      </c>
      <c r="AD32">
        <v>255</v>
      </c>
    </row>
    <row r="34" spans="15:32" x14ac:dyDescent="0.2">
      <c r="O34" s="42"/>
      <c r="P34" s="41"/>
    </row>
    <row r="37" spans="15:32" x14ac:dyDescent="0.2">
      <c r="AF37" t="s">
        <v>119</v>
      </c>
    </row>
    <row r="40" spans="15:32" x14ac:dyDescent="0.2">
      <c r="AC40">
        <v>255</v>
      </c>
      <c r="AD40">
        <v>255</v>
      </c>
      <c r="AE40">
        <v>255</v>
      </c>
      <c r="AF40">
        <v>0</v>
      </c>
    </row>
    <row r="43" spans="15:32" x14ac:dyDescent="0.2">
      <c r="AC43">
        <v>192</v>
      </c>
      <c r="AD43">
        <v>168</v>
      </c>
      <c r="AE43">
        <v>10</v>
      </c>
      <c r="AF43">
        <v>150</v>
      </c>
    </row>
    <row r="44" spans="15:32" x14ac:dyDescent="0.2">
      <c r="AC44">
        <v>255</v>
      </c>
      <c r="AD44">
        <v>255</v>
      </c>
      <c r="AE44">
        <v>255</v>
      </c>
      <c r="AF44">
        <v>128</v>
      </c>
    </row>
  </sheetData>
  <mergeCells count="1">
    <mergeCell ref="E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FF02-1F43-094C-8D72-3F3019A1BC61}">
  <dimension ref="A1:Q33"/>
  <sheetViews>
    <sheetView tabSelected="1" zoomScale="108" workbookViewId="0">
      <selection activeCell="G23" sqref="G23"/>
    </sheetView>
  </sheetViews>
  <sheetFormatPr baseColWidth="10" defaultRowHeight="16" x14ac:dyDescent="0.2"/>
  <cols>
    <col min="4" max="4" width="17.5" bestFit="1" customWidth="1"/>
    <col min="5" max="5" width="13.6640625" bestFit="1" customWidth="1"/>
    <col min="6" max="6" width="18.5" customWidth="1"/>
    <col min="7" max="7" width="15.33203125" bestFit="1" customWidth="1"/>
  </cols>
  <sheetData>
    <row r="1" spans="1:17" ht="19" x14ac:dyDescent="0.2"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</row>
    <row r="2" spans="1:17" x14ac:dyDescent="0.2">
      <c r="J2">
        <f>2^7</f>
        <v>128</v>
      </c>
      <c r="K2">
        <f>2^6</f>
        <v>64</v>
      </c>
      <c r="L2">
        <f>2^5</f>
        <v>32</v>
      </c>
      <c r="M2">
        <f>2^4</f>
        <v>16</v>
      </c>
      <c r="N2">
        <f>2^3</f>
        <v>8</v>
      </c>
      <c r="O2">
        <f>2^2</f>
        <v>4</v>
      </c>
      <c r="P2">
        <f>2^1</f>
        <v>2</v>
      </c>
      <c r="Q2">
        <f>2^0</f>
        <v>1</v>
      </c>
    </row>
    <row r="3" spans="1:17" x14ac:dyDescent="0.2">
      <c r="A3">
        <v>1</v>
      </c>
      <c r="B3" t="s">
        <v>18</v>
      </c>
      <c r="D3" t="s">
        <v>17</v>
      </c>
      <c r="E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">
      <c r="D4" t="s">
        <v>16</v>
      </c>
      <c r="E4">
        <f>2^E3</f>
        <v>8</v>
      </c>
    </row>
    <row r="7" spans="1:17" x14ac:dyDescent="0.2">
      <c r="A7">
        <v>2</v>
      </c>
      <c r="B7" t="s">
        <v>20</v>
      </c>
      <c r="D7" t="s">
        <v>19</v>
      </c>
      <c r="E7" t="s">
        <v>60</v>
      </c>
    </row>
    <row r="8" spans="1:17" x14ac:dyDescent="0.2">
      <c r="E8" t="s">
        <v>58</v>
      </c>
    </row>
    <row r="10" spans="1:17" x14ac:dyDescent="0.2">
      <c r="A10">
        <v>3</v>
      </c>
      <c r="B10" t="s">
        <v>21</v>
      </c>
      <c r="C10" s="9" t="s">
        <v>58</v>
      </c>
      <c r="D10">
        <v>255</v>
      </c>
      <c r="E10">
        <v>255</v>
      </c>
      <c r="F10">
        <v>255</v>
      </c>
      <c r="G10">
        <v>224</v>
      </c>
    </row>
    <row r="13" spans="1:17" x14ac:dyDescent="0.2">
      <c r="A13">
        <v>4</v>
      </c>
      <c r="B13" t="s">
        <v>24</v>
      </c>
      <c r="D13" t="s">
        <v>25</v>
      </c>
      <c r="E13">
        <f>256-G10</f>
        <v>32</v>
      </c>
    </row>
    <row r="15" spans="1:17" x14ac:dyDescent="0.2">
      <c r="A15">
        <v>5</v>
      </c>
      <c r="B15" t="s">
        <v>26</v>
      </c>
      <c r="D15">
        <v>0</v>
      </c>
    </row>
    <row r="16" spans="1:17" x14ac:dyDescent="0.2">
      <c r="D16">
        <v>32</v>
      </c>
    </row>
    <row r="17" spans="3:7" x14ac:dyDescent="0.2">
      <c r="D17">
        <f>D16+E13</f>
        <v>64</v>
      </c>
    </row>
    <row r="18" spans="3:7" x14ac:dyDescent="0.2">
      <c r="D18">
        <f>D17+E13</f>
        <v>96</v>
      </c>
    </row>
    <row r="19" spans="3:7" x14ac:dyDescent="0.2">
      <c r="D19">
        <f>D18+E13</f>
        <v>128</v>
      </c>
    </row>
    <row r="20" spans="3:7" x14ac:dyDescent="0.2">
      <c r="D20">
        <f>D19+E13</f>
        <v>160</v>
      </c>
    </row>
    <row r="21" spans="3:7" x14ac:dyDescent="0.2">
      <c r="D21">
        <f>D20+E13</f>
        <v>192</v>
      </c>
    </row>
    <row r="22" spans="3:7" x14ac:dyDescent="0.2">
      <c r="D22">
        <f>D21+E13</f>
        <v>224</v>
      </c>
    </row>
    <row r="23" spans="3:7" x14ac:dyDescent="0.2">
      <c r="D23">
        <f>D22+E13</f>
        <v>256</v>
      </c>
    </row>
    <row r="24" spans="3:7" ht="17" thickBot="1" x14ac:dyDescent="0.25"/>
    <row r="25" spans="3:7" x14ac:dyDescent="0.2">
      <c r="C25" s="10" t="s">
        <v>31</v>
      </c>
      <c r="D25" s="11" t="s">
        <v>30</v>
      </c>
      <c r="E25" s="11" t="s">
        <v>27</v>
      </c>
      <c r="F25" s="11" t="s">
        <v>28</v>
      </c>
      <c r="G25" s="3" t="s">
        <v>29</v>
      </c>
    </row>
    <row r="26" spans="3:7" x14ac:dyDescent="0.2">
      <c r="C26" s="4">
        <v>1</v>
      </c>
      <c r="D26" t="s">
        <v>13</v>
      </c>
      <c r="E26" t="s">
        <v>32</v>
      </c>
      <c r="F26" t="s">
        <v>69</v>
      </c>
      <c r="G26" s="5" t="s">
        <v>65</v>
      </c>
    </row>
    <row r="27" spans="3:7" x14ac:dyDescent="0.2">
      <c r="C27" s="4">
        <v>2</v>
      </c>
      <c r="D27" t="s">
        <v>61</v>
      </c>
      <c r="E27" t="s">
        <v>70</v>
      </c>
      <c r="F27" t="s">
        <v>57</v>
      </c>
      <c r="G27" s="5" t="s">
        <v>56</v>
      </c>
    </row>
    <row r="28" spans="3:7" x14ac:dyDescent="0.2">
      <c r="C28" s="4">
        <v>3</v>
      </c>
      <c r="D28" t="s">
        <v>39</v>
      </c>
      <c r="E28" t="s">
        <v>45</v>
      </c>
      <c r="F28" t="s">
        <v>76</v>
      </c>
      <c r="G28" s="5" t="s">
        <v>71</v>
      </c>
    </row>
    <row r="29" spans="3:7" x14ac:dyDescent="0.2">
      <c r="C29" s="4">
        <v>4</v>
      </c>
      <c r="D29" t="s">
        <v>62</v>
      </c>
      <c r="E29" t="s">
        <v>66</v>
      </c>
      <c r="F29" t="s">
        <v>34</v>
      </c>
      <c r="G29" s="5" t="s">
        <v>33</v>
      </c>
    </row>
    <row r="30" spans="3:7" x14ac:dyDescent="0.2">
      <c r="C30" s="4">
        <v>5</v>
      </c>
      <c r="D30" t="s">
        <v>35</v>
      </c>
      <c r="E30" t="s">
        <v>36</v>
      </c>
      <c r="F30" t="s">
        <v>75</v>
      </c>
      <c r="G30" s="5" t="s">
        <v>72</v>
      </c>
    </row>
    <row r="31" spans="3:7" x14ac:dyDescent="0.2">
      <c r="C31" s="4">
        <v>6</v>
      </c>
      <c r="D31" t="s">
        <v>63</v>
      </c>
      <c r="E31" t="s">
        <v>67</v>
      </c>
      <c r="F31" t="s">
        <v>43</v>
      </c>
      <c r="G31" s="5" t="s">
        <v>44</v>
      </c>
    </row>
    <row r="32" spans="3:7" x14ac:dyDescent="0.2">
      <c r="C32" s="4">
        <v>7</v>
      </c>
      <c r="D32" t="s">
        <v>40</v>
      </c>
      <c r="E32" t="s">
        <v>42</v>
      </c>
      <c r="F32" t="s">
        <v>74</v>
      </c>
      <c r="G32" s="5" t="s">
        <v>73</v>
      </c>
    </row>
    <row r="33" spans="3:7" ht="17" thickBot="1" x14ac:dyDescent="0.25">
      <c r="C33" s="6">
        <v>8</v>
      </c>
      <c r="D33" s="7" t="s">
        <v>64</v>
      </c>
      <c r="E33" s="7" t="s">
        <v>68</v>
      </c>
      <c r="F33" s="7" t="s">
        <v>41</v>
      </c>
      <c r="G33" s="8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24E5-6E50-5E46-AE48-ADA1A0685CD9}">
  <dimension ref="A1:Q26"/>
  <sheetViews>
    <sheetView zoomScale="135" workbookViewId="0">
      <selection activeCell="D23" sqref="D23"/>
    </sheetView>
  </sheetViews>
  <sheetFormatPr baseColWidth="10" defaultRowHeight="16" x14ac:dyDescent="0.2"/>
  <cols>
    <col min="2" max="2" width="34.5" bestFit="1" customWidth="1"/>
    <col min="3" max="3" width="7.1640625" bestFit="1" customWidth="1"/>
    <col min="4" max="4" width="22.83203125" customWidth="1"/>
    <col min="5" max="7" width="19" customWidth="1"/>
  </cols>
  <sheetData>
    <row r="1" spans="1:17" ht="19" x14ac:dyDescent="0.2"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</row>
    <row r="2" spans="1:17" x14ac:dyDescent="0.2">
      <c r="J2">
        <f>2^7</f>
        <v>128</v>
      </c>
      <c r="K2">
        <f>2^6</f>
        <v>64</v>
      </c>
      <c r="L2">
        <f>2^5</f>
        <v>32</v>
      </c>
      <c r="M2">
        <f>2^4</f>
        <v>16</v>
      </c>
      <c r="N2">
        <f>2^3</f>
        <v>8</v>
      </c>
      <c r="O2">
        <f>2^2</f>
        <v>4</v>
      </c>
      <c r="P2">
        <f>2^1</f>
        <v>2</v>
      </c>
      <c r="Q2">
        <f>2^0</f>
        <v>1</v>
      </c>
    </row>
    <row r="3" spans="1:17" x14ac:dyDescent="0.2">
      <c r="A3">
        <v>1</v>
      </c>
      <c r="B3" t="s">
        <v>18</v>
      </c>
      <c r="D3" t="s">
        <v>17</v>
      </c>
      <c r="E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">
      <c r="D4" t="s">
        <v>16</v>
      </c>
      <c r="E4">
        <f>2^E3</f>
        <v>4</v>
      </c>
    </row>
    <row r="7" spans="1:17" x14ac:dyDescent="0.2">
      <c r="A7">
        <v>2</v>
      </c>
      <c r="B7" t="s">
        <v>20</v>
      </c>
      <c r="D7" t="s">
        <v>19</v>
      </c>
      <c r="E7" t="s">
        <v>37</v>
      </c>
      <c r="K7" t="s">
        <v>84</v>
      </c>
    </row>
    <row r="8" spans="1:17" x14ac:dyDescent="0.2">
      <c r="E8" t="s">
        <v>38</v>
      </c>
    </row>
    <row r="10" spans="1:17" x14ac:dyDescent="0.2">
      <c r="A10">
        <v>3</v>
      </c>
      <c r="B10" t="s">
        <v>21</v>
      </c>
      <c r="C10" s="9" t="s">
        <v>38</v>
      </c>
      <c r="D10">
        <v>255</v>
      </c>
      <c r="E10">
        <v>255</v>
      </c>
      <c r="F10">
        <v>255</v>
      </c>
      <c r="G10">
        <f>SUM(J2:K2)</f>
        <v>192</v>
      </c>
    </row>
    <row r="13" spans="1:17" x14ac:dyDescent="0.2">
      <c r="A13">
        <v>4</v>
      </c>
      <c r="B13" t="s">
        <v>24</v>
      </c>
      <c r="D13" t="s">
        <v>25</v>
      </c>
      <c r="E13">
        <f>256-G10</f>
        <v>64</v>
      </c>
      <c r="G13">
        <f>256-G10</f>
        <v>64</v>
      </c>
    </row>
    <row r="15" spans="1:17" x14ac:dyDescent="0.2">
      <c r="A15">
        <v>5</v>
      </c>
      <c r="B15" t="s">
        <v>26</v>
      </c>
      <c r="D15">
        <v>0</v>
      </c>
    </row>
    <row r="16" spans="1:17" x14ac:dyDescent="0.2">
      <c r="D16">
        <v>64</v>
      </c>
    </row>
    <row r="17" spans="3:10" x14ac:dyDescent="0.2">
      <c r="D17">
        <v>128</v>
      </c>
      <c r="J17" t="s">
        <v>95</v>
      </c>
    </row>
    <row r="18" spans="3:10" x14ac:dyDescent="0.2">
      <c r="D18">
        <f>D17+E13</f>
        <v>192</v>
      </c>
      <c r="J18" t="s">
        <v>96</v>
      </c>
    </row>
    <row r="19" spans="3:10" x14ac:dyDescent="0.2">
      <c r="D19">
        <f>D18+E13</f>
        <v>256</v>
      </c>
    </row>
    <row r="21" spans="3:10" ht="17" thickBot="1" x14ac:dyDescent="0.25"/>
    <row r="22" spans="3:10" x14ac:dyDescent="0.2">
      <c r="C22" s="10" t="s">
        <v>31</v>
      </c>
      <c r="D22" s="11" t="s">
        <v>30</v>
      </c>
      <c r="E22" s="11" t="s">
        <v>27</v>
      </c>
      <c r="F22" s="11" t="s">
        <v>28</v>
      </c>
      <c r="G22" s="3" t="s">
        <v>29</v>
      </c>
    </row>
    <row r="23" spans="3:10" x14ac:dyDescent="0.2">
      <c r="C23" s="4">
        <v>1</v>
      </c>
      <c r="D23" t="s">
        <v>13</v>
      </c>
      <c r="E23" t="s">
        <v>32</v>
      </c>
      <c r="F23" t="s">
        <v>57</v>
      </c>
      <c r="G23" s="5" t="s">
        <v>56</v>
      </c>
    </row>
    <row r="24" spans="3:10" x14ac:dyDescent="0.2">
      <c r="C24" s="4">
        <v>2</v>
      </c>
      <c r="D24" t="s">
        <v>39</v>
      </c>
      <c r="E24" t="s">
        <v>45</v>
      </c>
      <c r="F24" t="s">
        <v>34</v>
      </c>
      <c r="G24" s="5" t="s">
        <v>33</v>
      </c>
    </row>
    <row r="25" spans="3:10" x14ac:dyDescent="0.2">
      <c r="C25" s="4">
        <v>3</v>
      </c>
      <c r="D25" t="s">
        <v>35</v>
      </c>
      <c r="E25" t="s">
        <v>36</v>
      </c>
      <c r="F25" t="s">
        <v>43</v>
      </c>
      <c r="G25" s="5" t="s">
        <v>44</v>
      </c>
    </row>
    <row r="26" spans="3:10" ht="17" thickBot="1" x14ac:dyDescent="0.25">
      <c r="C26" s="6">
        <v>4</v>
      </c>
      <c r="D26" s="7" t="s">
        <v>40</v>
      </c>
      <c r="E26" s="7" t="s">
        <v>42</v>
      </c>
      <c r="F26" s="7" t="s">
        <v>41</v>
      </c>
      <c r="G26" s="8" t="s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69E1-B3F0-4440-B919-7FFB1A16982C}">
  <dimension ref="A1:F10"/>
  <sheetViews>
    <sheetView zoomScale="150" workbookViewId="0">
      <selection activeCell="D18" sqref="D18"/>
    </sheetView>
  </sheetViews>
  <sheetFormatPr baseColWidth="10" defaultRowHeight="16" x14ac:dyDescent="0.2"/>
  <cols>
    <col min="1" max="1" width="15.5" bestFit="1" customWidth="1"/>
    <col min="3" max="7" width="22.6640625" customWidth="1"/>
  </cols>
  <sheetData>
    <row r="1" spans="1:6" ht="17" x14ac:dyDescent="0.2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28</v>
      </c>
      <c r="F1" s="12" t="s">
        <v>29</v>
      </c>
    </row>
    <row r="2" spans="1:6" ht="17" x14ac:dyDescent="0.2">
      <c r="A2" s="13" t="s">
        <v>50</v>
      </c>
      <c r="B2" s="13" t="s">
        <v>38</v>
      </c>
      <c r="C2" t="s">
        <v>13</v>
      </c>
      <c r="D2" t="s">
        <v>32</v>
      </c>
      <c r="E2" t="s">
        <v>57</v>
      </c>
      <c r="F2" s="5" t="s">
        <v>56</v>
      </c>
    </row>
    <row r="3" spans="1:6" ht="17" x14ac:dyDescent="0.2">
      <c r="A3" s="13" t="s">
        <v>51</v>
      </c>
      <c r="B3" s="13" t="s">
        <v>38</v>
      </c>
      <c r="C3" t="s">
        <v>39</v>
      </c>
      <c r="D3" t="s">
        <v>45</v>
      </c>
      <c r="E3" t="s">
        <v>34</v>
      </c>
      <c r="F3" s="5" t="s">
        <v>33</v>
      </c>
    </row>
    <row r="4" spans="1:6" ht="17" x14ac:dyDescent="0.2">
      <c r="A4" s="13" t="s">
        <v>52</v>
      </c>
      <c r="B4" s="13" t="s">
        <v>38</v>
      </c>
      <c r="C4" t="s">
        <v>35</v>
      </c>
      <c r="D4" t="s">
        <v>36</v>
      </c>
      <c r="E4" t="s">
        <v>43</v>
      </c>
      <c r="F4" s="5" t="s">
        <v>44</v>
      </c>
    </row>
    <row r="5" spans="1:6" ht="18" thickBot="1" x14ac:dyDescent="0.25">
      <c r="A5" s="13" t="s">
        <v>53</v>
      </c>
      <c r="B5" s="13" t="s">
        <v>38</v>
      </c>
      <c r="C5" s="7" t="s">
        <v>40</v>
      </c>
      <c r="D5" s="7" t="s">
        <v>42</v>
      </c>
      <c r="E5" s="7" t="s">
        <v>41</v>
      </c>
      <c r="F5" s="8" t="s">
        <v>15</v>
      </c>
    </row>
    <row r="9" spans="1:6" x14ac:dyDescent="0.2">
      <c r="B9" t="s">
        <v>0</v>
      </c>
      <c r="C9" s="14" t="s">
        <v>54</v>
      </c>
    </row>
    <row r="10" spans="1:6" x14ac:dyDescent="0.2">
      <c r="B10" t="s">
        <v>55</v>
      </c>
      <c r="C10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classes</vt:lpstr>
      <vt:lpstr>Lab 05</vt:lpstr>
      <vt:lpstr>2_subnets</vt:lpstr>
      <vt:lpstr>8_subnets</vt:lpstr>
      <vt:lpstr>Activity 01</vt:lpstr>
      <vt:lpstr>Activity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Maimoona Khilji</dc:creator>
  <cp:lastModifiedBy>Maimoona Khilji</cp:lastModifiedBy>
  <dcterms:created xsi:type="dcterms:W3CDTF">2026-09-21T17:18:31Z</dcterms:created>
  <dcterms:modified xsi:type="dcterms:W3CDTF">2026-09-25T04:22:10Z</dcterms:modified>
</cp:coreProperties>
</file>